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de Calendário 2026" sheetId="1" r:id="rId4"/>
    <sheet state="visible" name="Modelo de Calendário 2025" sheetId="2" r:id="rId5"/>
    <sheet state="visible" name="Exemplo Calendário 2025 de 800h" sheetId="3" r:id="rId6"/>
    <sheet state="visible" name="Exemplo Calendário 2025 de 1200" sheetId="4" r:id="rId7"/>
    <sheet state="visible" name="Cópia de Modelo de Calendário 2" sheetId="5" r:id="rId8"/>
    <sheet state="visible" name="Página5" sheetId="6" r:id="rId9"/>
    <sheet state="visible" name="Cópia de Cópia de Modelo de Cal" sheetId="7" r:id="rId10"/>
  </sheets>
  <definedNames>
    <definedName localSheetId="4" name="Data_2023_11_21_WinCalendar">'Cópia de Modelo de Calendário 2'!$D$68</definedName>
    <definedName localSheetId="5" name="Data_2023_09_15_WinCalendar">'Página5'!$G$56</definedName>
    <definedName localSheetId="0" name="WinCalendar_Calendar_4">'Modelo de Calendário 2026'!$J$21:$P$30</definedName>
    <definedName localSheetId="5" name="Data_2023_09_04_WinCalendar">'Página5'!$C$55</definedName>
    <definedName localSheetId="5" name="Data_2023_06_27_WinCalendar">#REF!</definedName>
    <definedName localSheetId="5" name="Data_2023_06_09_WinCalendar">'Página5'!$O$35</definedName>
    <definedName localSheetId="4" name="Data_2023_03_05_WinCalendar">'Cópia de Modelo de Calendário 2'!$B$24</definedName>
    <definedName localSheetId="0" name="WinCalendar_Calendar_1">'Modelo de Calendário 2026'!$B$12:$H$20</definedName>
    <definedName localSheetId="4" name="Data_2023_07_17_WinCalendar">'Cópia de Modelo de Calendário 2'!$C$47</definedName>
    <definedName localSheetId="6" name="Data_2023_09_16_WinCalendar">'Cópia de Cópia de Modelo de Cal'!$H$56</definedName>
    <definedName localSheetId="4" name="Data_2023_02_19_WinCalendar">'Cópia de Modelo de Calendário 2'!$J$17</definedName>
    <definedName localSheetId="5" name="Data_2023_03_10_WinCalendar">'Página5'!$G$24</definedName>
    <definedName localSheetId="4" name="Data_2023_12_30_WinCalendar">#REF!</definedName>
    <definedName localSheetId="1" name="Data_2023_09_03_WinCalendar">'Modelo de Calendário 2025'!$B$55</definedName>
    <definedName localSheetId="1" name="Data_2023_05_15_WinCalendar">'Modelo de Calendário 2025'!$B$36</definedName>
    <definedName localSheetId="0" name="Data_2023_04_24_WinCalendar">'Modelo de Calendário 2026'!$K$27</definedName>
    <definedName localSheetId="4" name="Data_2023_07_01_WinCalendar">'Cópia de Modelo de Calendário 2'!$H$44</definedName>
    <definedName localSheetId="6" name="Data_2023_03_21_WinCalendar">'Cópia de Cópia de Modelo de Cal'!$D$26</definedName>
    <definedName localSheetId="4" name="Data_2023_07_05_WinCalendar">'Cópia de Modelo de Calendário 2'!$E$45</definedName>
    <definedName localSheetId="4" name="Data_2023_02_05_WinCalendar">'Cópia de Modelo de Calendário 2'!$J$15</definedName>
    <definedName localSheetId="6" name="Data_2023_12_06_WinCalendar">'Cópia de Cópia de Modelo de Cal'!$M$66</definedName>
    <definedName localSheetId="5" name="Data_2023_03_16_WinCalendar">'Página5'!$F$25</definedName>
    <definedName localSheetId="0" name="Data_2023_01_22_WinCalendar">'Modelo de Calendário 2026'!$B$17</definedName>
    <definedName localSheetId="0" name="Data_2023_12_26_WinCalendar">#REF!</definedName>
    <definedName localSheetId="1" name="Data_2023_12_08_WinCalendar">'Modelo de Calendário 2025'!$O$66</definedName>
    <definedName localSheetId="1" name="Data_2023_03_01_WinCalendar">'Modelo de Calendário 2025'!$E$23</definedName>
    <definedName localSheetId="6" name="Data_2023_10_21_WinCalendar">'Cópia de Cópia de Modelo de Cal'!$P$56</definedName>
    <definedName localSheetId="6" name="WinCalendar_Calendar_11">'Cópia de Cópia de Modelo de Cal'!$B$63:$H$70</definedName>
    <definedName localSheetId="4" name="Data_2023_02_24_WinCalendar">'Cópia de Modelo de Calendário 2'!$O$17</definedName>
    <definedName localSheetId="4" name="Data_2023_12_01_WinCalendar">'Cópia de Modelo de Calendário 2'!$O$65</definedName>
    <definedName localSheetId="6" name="Data_2023_12_29_WinCalendar">#REF!</definedName>
    <definedName localSheetId="4" name="Data_2023_12_05_WinCalendar">'Cópia de Modelo de Calendário 2'!$L$66</definedName>
    <definedName localSheetId="6" name="Data_2023_09_21_WinCalendar">'Cópia de Cópia de Modelo de Cal'!$F$57</definedName>
    <definedName localSheetId="6" name="Data_2023_03_25_WinCalendar">'Cópia de Cópia de Modelo de Cal'!$H$26</definedName>
    <definedName localSheetId="6" name="Data_2023_12_27_WinCalendar">#REF!</definedName>
    <definedName localSheetId="6" name="Data_2023_01_05_WinCalendar">'Cópia de Cópia de Modelo de Cal'!$F$14</definedName>
    <definedName localSheetId="5" name="Data_2023_11_14_WinCalendar">'Página5'!$D$67</definedName>
    <definedName localSheetId="0" name="Data_2023_12_25_WinCalendar">#REF!</definedName>
    <definedName localSheetId="1" name="Data_2023_04_05_WinCalendar">'Modelo de Calendário 2025'!$M$24</definedName>
    <definedName localSheetId="6" name="Data_2023_11_14_WinCalendar">'Cópia de Cópia de Modelo de Cal'!$D$67</definedName>
    <definedName localSheetId="0" name="Data_2023_01_17_WinCalendar">'Modelo de Calendário 2026'!$D$16</definedName>
    <definedName localSheetId="5" name="Data_2023_10_23_WinCalendar">'Página5'!$K$57</definedName>
    <definedName localSheetId="4" name="Data_2023_07_09_WinCalendar">'Cópia de Modelo de Calendário 2'!$B$46</definedName>
    <definedName localSheetId="0" name="Data_2023_11_15_WinCalendar">'Modelo de Calendário 2026'!$E$66</definedName>
    <definedName localSheetId="5" name="Data_2023_11_10_WinCalendar">'Página5'!$G$66</definedName>
    <definedName localSheetId="4" name="Data_2023_06_02_WinCalendar">'Cópia de Modelo de Calendário 2'!$O$34</definedName>
    <definedName localSheetId="0" name="Data_2023_11_14_WinCalendar">'Modelo de Calendário 2026'!$D$66</definedName>
    <definedName localSheetId="0" name="Data_2023_10_25_WinCalendar">'Modelo de Calendário 2026'!$M$56</definedName>
    <definedName localSheetId="5" name="Data_2023_04_17_WinCalendar">'Página5'!$K$26</definedName>
    <definedName localSheetId="5" name="Data_2023_06_29_WinCalendar">#REF!</definedName>
    <definedName localSheetId="1" name="Data_2023_10_16_WinCalendar">'Modelo de Calendário 2025'!$K$56</definedName>
    <definedName localSheetId="6" name="Data_2023_08_24_WinCalendar">'Cópia de Cópia de Modelo de Cal'!$N$47</definedName>
    <definedName localSheetId="5" name="Data_2023_06_06_WinCalendar">'Página5'!$L$35</definedName>
    <definedName localSheetId="1" name="Data_2023_04_20_WinCalendar">'Modelo de Calendário 2025'!$N$26</definedName>
    <definedName localSheetId="1" name="Data_2023_11_14_WinCalendar">'Modelo de Calendário 2025'!$D$67</definedName>
    <definedName localSheetId="4" name="Data_2023_04_19_WinCalendar">'Cópia de Modelo de Calendário 2'!$M$26</definedName>
    <definedName localSheetId="6" name="Data_2023_11_28_WinCalendar">'Cópia de Cópia de Modelo de Cal'!$D$69</definedName>
    <definedName localSheetId="0" name="Data_2023_02_08_WinCalendar">'Modelo de Calendário 2026'!$M$15</definedName>
    <definedName localSheetId="4" name="Data_2023_10_11_WinCalendar">'Cópia de Modelo de Calendário 2'!$M$55</definedName>
    <definedName localSheetId="6" name="Data_2023_04_22_WinCalendar">'Cópia de Cópia de Modelo de Cal'!$P$26</definedName>
    <definedName localSheetId="4" name="Data_2023_09_16_WinCalendar">'Cópia de Modelo de Calendário 2'!$H$56</definedName>
    <definedName localSheetId="6" name="Data_2023_05_12_WinCalendar">'Cópia de Cópia de Modelo de Cal'!$F$35</definedName>
    <definedName localSheetId="6" name="Data_2023_07_16_WinCalendar">'Cópia de Cópia de Modelo de Cal'!$B$47</definedName>
    <definedName localSheetId="6" name="Data_2023_08_12_WinCalendar">'Cópia de Cópia de Modelo de Cal'!$P$45</definedName>
    <definedName localSheetId="0" name="Data_2023_09_13_WinCalendar">'Modelo de Calendário 2026'!$E$55</definedName>
    <definedName localSheetId="5" name="Data_2023_12_11_WinCalendar">'Página5'!$K$67</definedName>
    <definedName localSheetId="1" name="Data_2023_03_19_WinCalendar">'Modelo de Calendário 2025'!$B$26</definedName>
    <definedName localSheetId="4" name="Data_2023_05_01_WinCalendar">'Cópia de Modelo de Calendário 2'!$C$34</definedName>
    <definedName localSheetId="0" name="Data_2023_07_07_WinCalendar">'Modelo de Calendário 2026'!$G$44</definedName>
    <definedName localSheetId="0" name="Data_2023_09_27_WinCalendar">'Modelo de Calendário 2026'!$E$57</definedName>
    <definedName localSheetId="6" name="Data_2023_02_13_WinCalendar">'Cópia de Cópia de Modelo de Cal'!$K$16</definedName>
    <definedName localSheetId="5" name="Data_2023_05_04_WinCalendar">'Página5'!$E$34</definedName>
    <definedName localSheetId="5" name="Data_2023_10_05_WinCalendar">'Página5'!$N$54</definedName>
    <definedName localSheetId="6" name="Data_2023_01_06_WinCalendar">'Cópia de Cópia de Modelo de Cal'!$G$14</definedName>
    <definedName localSheetId="1" name="Data_2023_08_17_WinCalendar">'Modelo de Calendário 2025'!$N$46</definedName>
    <definedName localSheetId="6" name="Data_2023_12_25_WinCalendar">#REF!</definedName>
    <definedName localSheetId="1" name="Data_2023_06_10_WinCalendar">'Modelo de Calendário 2025'!$P$35</definedName>
    <definedName localSheetId="0" name="Data_2023_05_29_WinCalendar">'Modelo de Calendário 2026'!$B$37</definedName>
    <definedName localSheetId="6" name="Data_2023_04_17_WinCalendar">'Cópia de Cópia de Modelo de Cal'!$K$26</definedName>
    <definedName localSheetId="0" name="Data_2023_05_17_WinCalendar">'Modelo de Calendário 2026'!$D$35</definedName>
    <definedName localSheetId="0" name="Data_2023_03_31_WinCalendar">'Modelo de Calendário 2026'!$G$27</definedName>
    <definedName localSheetId="0" name="WinCalendar_Calendar_5">'Modelo de Calendário 2026'!$B$31:$H$40</definedName>
    <definedName localSheetId="1" name="Data_2023_01_14_WinCalendar">'Modelo de Calendário 2025'!$H$15</definedName>
    <definedName localSheetId="4" name="Data_2023_03_19_WinCalendar">'Cópia de Modelo de Calendário 2'!$B$26</definedName>
    <definedName localSheetId="6" name="Data_2023_10_17_WinCalendar">'Cópia de Cópia de Modelo de Cal'!$L$56</definedName>
    <definedName localSheetId="1" name="Data_2023_02_08_WinCalendar">'Modelo de Calendário 2025'!$M$15</definedName>
    <definedName localSheetId="0" name="Data_2023_02_18_WinCalendar">'Modelo de Calendário 2026'!$P$16</definedName>
    <definedName localSheetId="4" name="Data_2023_10_01_WinCalendar">'Cópia de Modelo de Calendário 2'!$J$54</definedName>
    <definedName localSheetId="1" name="WinCalendar_Calendar_7">'Modelo de Calendário 2025'!$B$42:$H$51</definedName>
    <definedName localSheetId="4" name="Data_2023_12_06_WinCalendar">'Cópia de Modelo de Calendário 2'!$M$66</definedName>
    <definedName localSheetId="1" name="Data_2023_09_27_WinCalendar">'Modelo de Calendário 2025'!$E$58</definedName>
    <definedName localSheetId="4" name="Data_2023_06_13_WinCalendar">'Cópia de Modelo de Calendário 2'!$L$36</definedName>
    <definedName localSheetId="6" name="Data_2023_12_03_WinCalendar">'Cópia de Cópia de Modelo de Cal'!$J$66</definedName>
    <definedName localSheetId="1" name="Data_2023_03_30_WinCalendar">'Modelo de Calendário 2025'!$F$27</definedName>
    <definedName localSheetId="5" name="Data_2023_07_06_WinCalendar">'Página5'!$F$45</definedName>
    <definedName localSheetId="6" name="Data_2023_01_20_WinCalendar">'Cópia de Cópia de Modelo de Cal'!$G$16</definedName>
    <definedName localSheetId="5" name="Data_2023_06_20_WinCalendar">'Página5'!$L$37</definedName>
    <definedName localSheetId="0" name="Data_2023_06_02_WinCalendar">'Modelo de Calendário 2026'!$O$33</definedName>
    <definedName localSheetId="6" name="Data_2023_04_28_WinCalendar">'Cópia de Cópia de Modelo de Cal'!$O$27</definedName>
    <definedName localSheetId="5" name="Data_2023_03_27_WinCalendar">'Página5'!$C$27</definedName>
    <definedName localSheetId="4" name="Data_2023_04_30_WinCalendar">'Cópia de Modelo de Calendário 2'!$J$28</definedName>
    <definedName localSheetId="1" name="Data_2023_08_14_WinCalendar">'Modelo de Calendário 2025'!$K$46</definedName>
    <definedName localSheetId="1" name="Data_2023_03_07_WinCalendar">'Modelo de Calendário 2025'!$D$24</definedName>
    <definedName localSheetId="1" name="Data_2023_06_14_WinCalendar">'Modelo de Calendário 2025'!$M$36</definedName>
    <definedName localSheetId="5" name="Data_2023_12_03_WinCalendar">'Página5'!$J$66</definedName>
    <definedName localSheetId="1" name="Data_2023_02_22_WinCalendar">'Modelo de Calendário 2025'!$M$17</definedName>
    <definedName localSheetId="6" name="Data_2023_04_10_WinCalendar">'Cópia de Cópia de Modelo de Cal'!$K$25</definedName>
    <definedName localSheetId="0" name="Data_2023_04_17_WinCalendar">'Modelo de Calendário 2026'!$K$26</definedName>
    <definedName localSheetId="6" name="Data_2023_09_05_WinCalendar">'Cópia de Cópia de Modelo de Cal'!$D$55</definedName>
    <definedName localSheetId="6" name="Data_2023_06_05_WinCalendar">'Cópia de Cópia de Modelo de Cal'!$K$35</definedName>
    <definedName localSheetId="6" name="Data_2023_07_12_WinCalendar">'Cópia de Cópia de Modelo de Cal'!$E$46</definedName>
    <definedName localSheetId="0" name="Data_2023_07_23_WinCalendar">'Modelo de Calendário 2026'!$B$47</definedName>
    <definedName localSheetId="4" name="Data_2023_04_05_WinCalendar">'Cópia de Modelo de Calendário 2'!$M$24</definedName>
    <definedName localSheetId="1" name="Data_2023_09_20_WinCalendar">'Modelo de Calendário 2025'!$E$57</definedName>
    <definedName localSheetId="0" name="Data_2023_11_16_WinCalendar">'Modelo de Calendário 2026'!$F$66</definedName>
    <definedName localSheetId="5" name="Data_2023_11_27_WinCalendar">'Página5'!$C$69</definedName>
    <definedName localSheetId="6" name="Data_2023_09_13_WinCalendar">'Cópia de Cópia de Modelo de Cal'!$E$56</definedName>
    <definedName localSheetId="1" name="Data_2023_11_10_WinCalendar">'Modelo de Calendário 2025'!$G$66</definedName>
    <definedName localSheetId="1" name="Data_2023_01_21_WinCalendar">'Modelo de Calendário 2025'!$H$16</definedName>
    <definedName localSheetId="5" name="WinCalendar_Calendar_3">'Página5'!$B$21:$H$29</definedName>
    <definedName localSheetId="5" name="Data_2023_10_28_WinCalendar">'Página5'!$P$57</definedName>
    <definedName localSheetId="4" name="Data_2023_10_27_WinCalendar">'Cópia de Modelo de Calendário 2'!$O$57</definedName>
    <definedName localSheetId="0" name="Data_2023_06_05_WinCalendar">'Modelo de Calendário 2026'!$K$34</definedName>
    <definedName localSheetId="1" name="Data_2023_04_21_WinCalendar">'Modelo de Calendário 2025'!$O$26</definedName>
    <definedName localSheetId="1" name="Data_2023_11_08_WinCalendar">'Modelo de Calendário 2025'!$E$66</definedName>
    <definedName localSheetId="4" name="Data_2023_12_15_WinCalendar">'Cópia de Modelo de Calendário 2'!$O$67</definedName>
    <definedName localSheetId="1" name="Data_2023_05_27_WinCalendar">'Modelo de Calendário 2025'!$G$37</definedName>
    <definedName localSheetId="6" name="Data_2023_12_26_WinCalendar">#REF!</definedName>
    <definedName localSheetId="6" name="Data_2023_02_19_WinCalendar">'Cópia de Cópia de Modelo de Cal'!$J$17</definedName>
    <definedName localSheetId="5" name="Data_2023_08_26_WinCalendar">'Página5'!$P$47</definedName>
    <definedName localSheetId="0" name="WinCalendar_Calendar_9">'Modelo de Calendário 2026'!$B$51:$H$61</definedName>
    <definedName localSheetId="6" name="Data_2023_07_30_WinCalendar">#REF!</definedName>
    <definedName localSheetId="6" name="Data_2023_05_21_WinCalendar">'Cópia de Cópia de Modelo de Cal'!$H$36</definedName>
    <definedName localSheetId="6" name="Data_2023_02_14_WinCalendar">'Cópia de Cópia de Modelo de Cal'!$L$16</definedName>
    <definedName localSheetId="5" name="Data_2023_11_17_WinCalendar">'Página5'!$G$67</definedName>
    <definedName localSheetId="0" name="Data_2023_07_22_WinCalendar">'Modelo de Calendário 2026'!$H$46</definedName>
    <definedName localSheetId="0" name="Data_2023_02_23_WinCalendar">'Modelo de Calendário 2026'!$N$17</definedName>
    <definedName localSheetId="4" name="Data_2023_05_10_WinCalendar">'Cópia de Modelo de Calendário 2'!$D$35</definedName>
    <definedName localSheetId="5" name="Data_2023_10_04_WinCalendar">'Página5'!$M$54</definedName>
    <definedName localSheetId="0" name="Data_2023_08_03_WinCalendar">#REF!</definedName>
    <definedName localSheetId="4" name="Data_2023_01_03_WinCalendar">'Cópia de Modelo de Calendário 2'!$D$14</definedName>
    <definedName localSheetId="4" name="Data_2023_02_18_WinCalendar">'Cópia de Modelo de Calendário 2'!$P$16</definedName>
    <definedName localSheetId="6" name="Data_2023_02_09_WinCalendar">'Cópia de Cópia de Modelo de Cal'!$N$15</definedName>
    <definedName localSheetId="0" name="Data_2023_07_13_WinCalendar">'Modelo de Calendário 2026'!$F$45</definedName>
    <definedName localSheetId="0" name="Data_2023_03_23_WinCalendar">'Modelo de Calendário 2026'!$F$26</definedName>
    <definedName localSheetId="5" name="Data_2023_05_03_WinCalendar">#REF!</definedName>
    <definedName localSheetId="6" name="Data_2023_07_05_WinCalendar">'Cópia de Cópia de Modelo de Cal'!$E$45</definedName>
    <definedName localSheetId="0" name="Data_2023_09_23_WinCalendar">'Modelo de Calendário 2026'!$H$56</definedName>
    <definedName localSheetId="5" name="Data_2023_05_17_WinCalendar">'Página5'!$D$36</definedName>
    <definedName localSheetId="1" name="Data_2023_12_07_WinCalendar">'Modelo de Calendário 2025'!$N$66</definedName>
    <definedName localSheetId="6" name="Data_2023_01_21_WinCalendar">'Cópia de Cópia de Modelo de Cal'!$H$16</definedName>
    <definedName localSheetId="0" name="Data_2023_12_31_WinCalendar">'Modelo de Calendário 2026'!$J$68</definedName>
    <definedName localSheetId="5" name="Data_2023_08_27_WinCalendar">'Página5'!$J$48</definedName>
    <definedName localSheetId="6" name="Data_2023_01_22_WinCalendar">'Cópia de Cópia de Modelo de Cal'!$B$17</definedName>
    <definedName localSheetId="0" name="Data_2023_08_19_WinCalendar">'Modelo de Calendário 2026'!$P$45</definedName>
    <definedName localSheetId="6" name="Data_2023_01_03_WinCalendar">'Cópia de Cópia de Modelo de Cal'!$D$14</definedName>
    <definedName localSheetId="5" name="Data_2023_05_06_WinCalendar">'Página5'!$G$34</definedName>
    <definedName localSheetId="1" name="Data_2023_09_22_WinCalendar">'Modelo de Calendário 2025'!$G$57</definedName>
    <definedName localSheetId="4" name="Data_2023_07_08_WinCalendar">'Cópia de Modelo de Calendário 2'!$H$45</definedName>
    <definedName localSheetId="5" name="Data_2023_05_24_WinCalendar">'Página5'!$D$37</definedName>
    <definedName localSheetId="0" name="Data_2023_10_08_WinCalendar">'Modelo de Calendário 2026'!$J$54</definedName>
    <definedName localSheetId="1" name="Data_2023_06_25_WinCalendar">#REF!</definedName>
    <definedName localSheetId="6" name="Data_2023_06_09_WinCalendar">'Cópia de Cópia de Modelo de Cal'!$O$35</definedName>
    <definedName localSheetId="4" name="Data_2023_06_14_WinCalendar">'Cópia de Modelo de Calendário 2'!$M$36</definedName>
    <definedName localSheetId="4" name="Data_2023_03_01_WinCalendar">'Cópia de Modelo de Calendário 2'!$E$23</definedName>
    <definedName localSheetId="6" name="Data_2023_02_01_WinCalendar">'Cópia de Cópia de Modelo de Cal'!$M$14</definedName>
    <definedName localSheetId="5" name="Data_2023_08_24_WinCalendar">'Página5'!$N$47</definedName>
    <definedName localSheetId="0" name="Data_2023_06_12_WinCalendar">'Modelo de Calendário 2026'!$K$35</definedName>
    <definedName localSheetId="0" name="Data_2023_11_05_WinCalendar">'Modelo de Calendário 2026'!$B$65</definedName>
    <definedName localSheetId="4" name="Data_2023_11_13_WinCalendar">'Cópia de Modelo de Calendário 2'!$C$67</definedName>
    <definedName localSheetId="5" name="Data_2023_08_14_WinCalendar">'Página5'!$K$46</definedName>
    <definedName localSheetId="0" name="Data_2023_04_22_WinCalendar">'Modelo de Calendário 2026'!$P$26</definedName>
    <definedName localSheetId="6" name="Data_2023_01_11_WinCalendar">'Cópia de Cópia de Modelo de Cal'!$E$15</definedName>
    <definedName localSheetId="6" name="Data_2023_03_22_WinCalendar">'Cópia de Cópia de Modelo de Cal'!$E$26</definedName>
    <definedName localSheetId="0" name="Data_2023_04_05_WinCalendar">'Modelo de Calendário 2026'!$M$24</definedName>
    <definedName localSheetId="6" name="Data_2023_03_12_WinCalendar">'Cópia de Cópia de Modelo de Cal'!$B$25</definedName>
    <definedName localSheetId="4" name="Data_2023_05_05_WinCalendar">'Cópia de Modelo de Calendário 2'!$F$34</definedName>
    <definedName localSheetId="0" name="Data_2023_01_01_WinCalendar">'Modelo de Calendário 2026'!$B$14</definedName>
    <definedName localSheetId="6" name="Data_2023_04_21_WinCalendar">'Cópia de Cópia de Modelo de Cal'!$O$26</definedName>
    <definedName localSheetId="6" name="Data_2023_04_08_WinCalendar">'Cópia de Cópia de Modelo de Cal'!$P$24</definedName>
    <definedName localSheetId="4" name="Data_2023_03_22_WinCalendar">'Cópia de Modelo de Calendário 2'!$E$26</definedName>
    <definedName localSheetId="0" name="Data_2023_05_14_WinCalendar">'Modelo de Calendário 2026'!$H$34</definedName>
    <definedName localSheetId="5" name="Data_2023_05_07_WinCalendar">'Página5'!$H$34</definedName>
    <definedName localSheetId="5" name="Data_2023_04_24_WinCalendar">'Página5'!$K$27</definedName>
    <definedName localSheetId="6" name="Data_2023_11_24_WinCalendar">'Cópia de Cópia de Modelo de Cal'!$G$68</definedName>
    <definedName localSheetId="4" name="Data_2023_03_28_WinCalendar">'Cópia de Modelo de Calendário 2'!$D$27</definedName>
    <definedName localSheetId="6" name="Data_2023_12_24_WinCalendar">#REF!</definedName>
    <definedName localSheetId="6" name="Data_2023_07_10_WinCalendar">'Cópia de Cópia de Modelo de Cal'!$C$46</definedName>
    <definedName localSheetId="1" name="Data_2023_10_13_WinCalendar">'Modelo de Calendário 2025'!$O$55</definedName>
    <definedName localSheetId="1" name="Data_2023_04_01_WinCalendar">'Modelo de Calendário 2025'!$P$23</definedName>
    <definedName localSheetId="6" name="Data_2023_07_15_WinCalendar">'Cópia de Cópia de Modelo de Cal'!$H$46</definedName>
    <definedName localSheetId="5" name="Data_2023_10_02_WinCalendar">'Página5'!$K$54</definedName>
    <definedName localSheetId="0" name="Data_2023_10_19_WinCalendar">'Modelo de Calendário 2026'!$N$55</definedName>
    <definedName localSheetId="6" name="Data_2023_08_18_WinCalendar">'Cópia de Cópia de Modelo de Cal'!$O$46</definedName>
    <definedName localSheetId="4" name="Data_2023_03_26_WinCalendar">'Cópia de Modelo de Calendário 2'!$B$27</definedName>
    <definedName localSheetId="4" name="Data_2023_04_24_WinCalendar">'Cópia de Modelo de Calendário 2'!$K$27</definedName>
    <definedName localSheetId="5" name="Data_2023_11_02_WinCalendar">'Página5'!$F$65</definedName>
    <definedName localSheetId="4" name="Data_2023_01_05_WinCalendar">'Cópia de Modelo de Calendário 2'!$F$14</definedName>
    <definedName localSheetId="4" name="Data_2023_05_30_WinCalendar">'Cópia de Modelo de Calendário 2'!$C$38</definedName>
    <definedName localSheetId="0" name="Data_2023_12_08_WinCalendar">'Modelo de Calendário 2026'!$O$65</definedName>
    <definedName localSheetId="5" name="Data_2023_07_02_WinCalendar">#REF!</definedName>
    <definedName localSheetId="1" name="Data_2023_02_02_WinCalendar">'Modelo de Calendário 2025'!$N$14</definedName>
    <definedName localSheetId="0" name="Data_2023_03_15_WinCalendar">'Modelo de Calendário 2026'!$E$25</definedName>
    <definedName localSheetId="6" name="Data_2023_02_05_WinCalendar">'Cópia de Cópia de Modelo de Cal'!$J$15</definedName>
    <definedName localSheetId="1" name="Data_2023_02_10_WinCalendar">'Modelo de Calendário 2025'!$O$15</definedName>
    <definedName localSheetId="5" name="Data_2023_01_13_WinCalendar">'Página5'!$G$15</definedName>
    <definedName localSheetId="1" name="Data_2023_06_28_WinCalendar">#REF!</definedName>
    <definedName localSheetId="5" name="Data_2023_09_20_WinCalendar">'Página5'!$E$57</definedName>
    <definedName localSheetId="0" name="Data_2023_10_07_WinCalendar">'Modelo de Calendário 2026'!$P$53</definedName>
    <definedName localSheetId="1" name="Data_2023_06_19_WinCalendar">'Modelo de Calendário 2025'!$K$37</definedName>
    <definedName localSheetId="0" name="Data_2023_08_27_WinCalendar">'Modelo de Calendário 2026'!$J$47</definedName>
    <definedName localSheetId="6" name="Data_2023_05_10_WinCalendar">'Cópia de Cópia de Modelo de Cal'!$D$35</definedName>
    <definedName localSheetId="4" name="Data_2023_10_23_WinCalendar">'Cópia de Modelo de Calendário 2'!$K$57</definedName>
    <definedName localSheetId="1" name="Data_2023_09_30_WinCalendar">'Modelo de Calendário 2025'!$H$58</definedName>
    <definedName localSheetId="6" name="Data_2023_10_10_WinCalendar">'Cópia de Cópia de Modelo de Cal'!$L$55</definedName>
    <definedName localSheetId="4" name="Data_2023_04_18_WinCalendar">'Cópia de Modelo de Calendário 2'!$L$26</definedName>
    <definedName localSheetId="0" name="Data_2023_09_12_WinCalendar">'Modelo de Calendário 2026'!$D$55</definedName>
    <definedName localSheetId="1" name="Data_2023_02_23_WinCalendar">'Modelo de Calendário 2025'!$N$17</definedName>
    <definedName localSheetId="4" name="Data_2023_06_08_WinCalendar">'Cópia de Modelo de Calendário 2'!$N$35</definedName>
    <definedName localSheetId="0" name="Data_2023_07_25_WinCalendar">'Modelo de Calendário 2026'!$D$47</definedName>
    <definedName localSheetId="0" name="Data_2023_08_15_WinCalendar">'Modelo de Calendário 2026'!$L$45</definedName>
    <definedName localSheetId="6" name="Data_2023_05_18_WinCalendar">'Cópia de Cópia de Modelo de Cal'!$E$36</definedName>
    <definedName localSheetId="4" name="Data_2023_07_12_WinCalendar">'Cópia de Modelo de Calendário 2'!$E$46</definedName>
    <definedName localSheetId="1" name="Data_2023_08_02_WinCalendar">'Modelo de Calendário 2025'!$M$44</definedName>
    <definedName localSheetId="6" name="Data_2023_06_29_WinCalendar">#REF!</definedName>
    <definedName localSheetId="0" name="Data_2023_07_06_WinCalendar">'Modelo de Calendário 2026'!$F$44</definedName>
    <definedName localSheetId="5" name="Data_2023_01_20_WinCalendar">'Página5'!$G$16</definedName>
    <definedName localSheetId="5" name="Data_2023_11_29_WinCalendar">'Página5'!$E$69</definedName>
    <definedName localSheetId="4" name="Data_2023_09_22_WinCalendar">'Cópia de Modelo de Calendário 2'!$G$57</definedName>
    <definedName localSheetId="4" name="Data_2023_11_28_WinCalendar">'Cópia de Modelo de Calendário 2'!$D$69</definedName>
    <definedName localSheetId="5" name="Data_2023_02_10_WinCalendar">'Página5'!$O$15</definedName>
    <definedName localSheetId="6" name="Data_2023_05_19_WinCalendar">'Cópia de Cópia de Modelo de Cal'!$F$36</definedName>
    <definedName localSheetId="1" name="Data_2023_12_13_WinCalendar">'Modelo de Calendário 2025'!$M$67</definedName>
    <definedName localSheetId="6" name="Data_2023_12_21_WinCalendar">'Cópia de Cópia de Modelo de Cal'!$N$68</definedName>
    <definedName localSheetId="5" name="Data_2023_07_19_WinCalendar">'Página5'!$E$47</definedName>
    <definedName localSheetId="6" name="Data_2023_12_10_WinCalendar">'Cópia de Cópia de Modelo de Cal'!$J$67</definedName>
    <definedName localSheetId="1" name="Data_2023_05_19_WinCalendar">'Modelo de Calendário 2025'!$F$36</definedName>
    <definedName localSheetId="5" name="Data_2023_04_09_WinCalendar">'Página5'!$J$25</definedName>
    <definedName localSheetId="0" name="Data_2023_02_25_WinCalendar">'Modelo de Calendário 2026'!$P$17</definedName>
    <definedName localSheetId="6" name="Data_2023_06_26_WinCalendar">#REF!</definedName>
    <definedName localSheetId="4" name="Data_2023_02_26_WinCalendar">'Cópia de Modelo de Calendário 2'!$J$18</definedName>
    <definedName localSheetId="0" name="Data_2023_11_02_WinCalendar">'Modelo de Calendário 2026'!$F$64</definedName>
    <definedName localSheetId="6" name="Data_2023_11_16_WinCalendar">'Cópia de Cópia de Modelo de Cal'!$F$67</definedName>
    <definedName localSheetId="5" name="Data_2023_05_25_WinCalendar">'Página5'!$E$37</definedName>
    <definedName localSheetId="5" name="Data_2023_04_12_WinCalendar">'Página5'!$M$25</definedName>
    <definedName localSheetId="0" name="Data_2023_06_28_WinCalendar">#REF!</definedName>
    <definedName localSheetId="0" name="Data_2023_11_13_WinCalendar">'Modelo de Calendário 2026'!$C$66</definedName>
    <definedName localSheetId="4" name="Data_2023_09_14_WinCalendar">'Cópia de Modelo de Calendário 2'!$F$56</definedName>
    <definedName localSheetId="4" name="Data_2023_03_15_WinCalendar">'Cópia de Modelo de Calendário 2'!$E$25</definedName>
    <definedName localSheetId="5" name="Data_2023_11_30_WinCalendar">'Página5'!$F$69</definedName>
    <definedName localSheetId="1" name="Data_2023_08_10_WinCalendar">'Modelo de Calendário 2025'!$N$45</definedName>
    <definedName localSheetId="0" name="Data_2023_06_24_WinCalendar">'Modelo de Calendário 2026'!$P$36</definedName>
    <definedName localSheetId="4" name="Data_2023_04_08_WinCalendar">'Cópia de Modelo de Calendário 2'!$P$24</definedName>
    <definedName localSheetId="5" name="Data_2023_05_29_WinCalendar">'Página5'!$B$38</definedName>
    <definedName localSheetId="0" name="Data_2023_05_06_WinCalendar">'Modelo de Calendário 2026'!$G$33</definedName>
    <definedName localSheetId="0" name="Data_2023_10_15_WinCalendar">'Modelo de Calendário 2026'!$J$55</definedName>
    <definedName localSheetId="4" name="Data_2023_03_02_WinCalendar">'Cópia de Modelo de Calendário 2'!$F$23</definedName>
    <definedName localSheetId="0" name="Data_2023_10_24_WinCalendar">'Modelo de Calendário 2026'!$L$56</definedName>
    <definedName localSheetId="4" name="Data_2023_01_28_WinCalendar">'Cópia de Modelo de Calendário 2'!$H$17</definedName>
    <definedName localSheetId="0" name="Data_2023_08_20_WinCalendar">'Modelo de Calendário 2026'!$J$46</definedName>
    <definedName localSheetId="1" name="Data_2023_08_19_WinCalendar">'Modelo de Calendário 2025'!$P$46</definedName>
    <definedName localSheetId="5" name="Data_2023_02_20_WinCalendar">'Página5'!$K$17</definedName>
    <definedName localSheetId="4" name="Data_2023_08_10_WinCalendar">'Cópia de Modelo de Calendário 2'!$N$45</definedName>
    <definedName localSheetId="5" name="Data_2023_07_09_WinCalendar">'Página5'!$B$46</definedName>
    <definedName localSheetId="1" name="Data_2023_05_09_WinCalendar">'Modelo de Calendário 2025'!$C$35</definedName>
    <definedName localSheetId="6" name="Data_2023_05_31_WinCalendar">'Cópia de Cópia de Modelo de Cal'!$D$38</definedName>
    <definedName localSheetId="5" name="Data_2023_09_23_WinCalendar">'Página5'!$H$57</definedName>
    <definedName localSheetId="4" name="Data_2023_03_23_WinCalendar">'Cópia de Modelo de Calendário 2'!$F$26</definedName>
    <definedName localSheetId="1" name="Data_2023_05_11_WinCalendar">'Modelo de Calendário 2025'!$E$35</definedName>
    <definedName localSheetId="6" name="Data_2023_09_19_WinCalendar">'Cópia de Cópia de Modelo de Cal'!$D$57</definedName>
    <definedName localSheetId="5" name="Data_2023_06_26_WinCalendar">#REF!</definedName>
    <definedName localSheetId="1" name="Data_2023_01_20_WinCalendar">'Modelo de Calendário 2025'!$G$16</definedName>
    <definedName localSheetId="1" name="Data_2023_05_04_WinCalendar">'Modelo de Calendário 2025'!$E$34</definedName>
    <definedName localSheetId="1" name="Data_2023_10_02_WinCalendar">'Modelo de Calendário 2025'!$K$54</definedName>
    <definedName localSheetId="5" name="Data_2023_03_30_WinCalendar">'Página5'!$F$27</definedName>
    <definedName localSheetId="0" name="Data_2023_12_11_WinCalendar">'Modelo de Calendário 2026'!$K$66</definedName>
    <definedName localSheetId="0" name="Data_2023_09_03_WinCalendar">'Modelo de Calendário 2026'!$B$54</definedName>
    <definedName localSheetId="5" name="Data_2023_05_10_WinCalendar">'Página5'!$D$35</definedName>
    <definedName localSheetId="5" name="Data_2023_05_30_WinCalendar">'Página5'!$C$38</definedName>
    <definedName localSheetId="4" name="Data_2023_11_16_WinCalendar">'Cópia de Modelo de Calendário 2'!$F$67</definedName>
    <definedName localSheetId="1" name="Data_2023_06_18_WinCalendar">'Modelo de Calendário 2025'!$J$37</definedName>
    <definedName localSheetId="6" name="Data_2023_07_25_WinCalendar">'Cópia de Cópia de Modelo de Cal'!$D$48</definedName>
    <definedName localSheetId="4" name="Data_2023_07_16_WinCalendar">'Cópia de Modelo de Calendário 2'!$B$47</definedName>
    <definedName localSheetId="4" name="Data_2023_02_13_WinCalendar">'Cópia de Modelo de Calendário 2'!$K$16</definedName>
    <definedName localSheetId="5" name="Data_2023_06_19_WinCalendar">'Página5'!$K$37</definedName>
    <definedName localSheetId="6" name="Data_2023_08_06_WinCalendar">'Cópia de Cópia de Modelo de Cal'!$J$45</definedName>
    <definedName localSheetId="4" name="Data_2023_04_12_WinCalendar">'Cópia de Modelo de Calendário 2'!$M$25</definedName>
    <definedName localSheetId="0" name="Data_2023_05_18_WinCalendar">'Modelo de Calendário 2026'!$E$35</definedName>
    <definedName localSheetId="1" name="Data_2023_12_06_WinCalendar">'Modelo de Calendário 2025'!$M$66</definedName>
    <definedName localSheetId="6" name="Data_2023_12_07_WinCalendar">'Cópia de Cópia de Modelo de Cal'!$N$66</definedName>
    <definedName localSheetId="6" name="Data_2023_03_19_WinCalendar">'Cópia de Cópia de Modelo de Cal'!$B$26</definedName>
    <definedName localSheetId="5" name="Data_2023_12_19_WinCalendar">'Página5'!$L$68</definedName>
    <definedName localSheetId="6" name="Data_2023_01_27_WinCalendar">'Cópia de Cópia de Modelo de Cal'!$G$17</definedName>
    <definedName localSheetId="0" name="Data_2023_05_10_WinCalendar">'Modelo de Calendário 2026'!$D$34</definedName>
    <definedName localSheetId="4" name="Data_2023_06_26_WinCalendar">#REF!</definedName>
    <definedName localSheetId="6" name="Data_2023_08_22_WinCalendar">'Cópia de Cópia de Modelo de Cal'!$L$47</definedName>
    <definedName localSheetId="4" name="Data_2023_01_13_WinCalendar">'Cópia de Modelo de Calendário 2'!$G$15</definedName>
    <definedName localSheetId="6" name="Data_2023_11_05_WinCalendar">'Cópia de Cópia de Modelo de Cal'!$B$66</definedName>
    <definedName localSheetId="5" name="Data_2023_12_31_WinCalendar">'Página5'!$J$69</definedName>
    <definedName localSheetId="4" name="Data_2023_12_17_WinCalendar">'Cópia de Modelo de Calendário 2'!$J$68</definedName>
    <definedName localSheetId="5" name="Data_2023_09_18_WinCalendar">'Página5'!$C$57</definedName>
    <definedName localSheetId="5" name="Data_2023_06_15_WinCalendar">'Página5'!$N$36</definedName>
    <definedName localSheetId="5" name="Data_2023_08_30_WinCalendar">'Página5'!$M$48</definedName>
    <definedName localSheetId="5" name="Data_2023_09_06_WinCalendar">'Página5'!$E$55</definedName>
    <definedName localSheetId="6" name="Data_2023_06_14_WinCalendar">'Cópia de Cópia de Modelo de Cal'!$M$36</definedName>
    <definedName localSheetId="5" name="Data_2023_01_18_WinCalendar">'Página5'!$E$16</definedName>
    <definedName localSheetId="4" name="Data_2023_09_15_WinCalendar">'Cópia de Modelo de Calendário 2'!$G$56</definedName>
    <definedName localSheetId="0" name="Data_2023_10_17_WinCalendar">'Modelo de Calendário 2026'!$L$55</definedName>
    <definedName localSheetId="0" name="Data_2023_08_17_WinCalendar">'Modelo de Calendário 2026'!$N$45</definedName>
    <definedName localSheetId="5" name="Data_2023_10_03_WinCalendar">'Página5'!$L$54</definedName>
    <definedName localSheetId="1" name="Data_2023_05_18_WinCalendar">'Modelo de Calendário 2025'!$E$36</definedName>
    <definedName localSheetId="6" name="WinCalendar_Calendar_5">'Cópia de Cópia de Modelo de Cal'!$B$32:$H$41</definedName>
    <definedName localSheetId="1" name="Data_2023_02_18_WinCalendar">'Modelo de Calendário 2025'!$P$16</definedName>
    <definedName localSheetId="0" name="Data_2023_11_26_WinCalendar">'Modelo de Calendário 2026'!$B$68</definedName>
    <definedName localSheetId="4" name="Data_2023_01_12_WinCalendar">'Cópia de Modelo de Calendário 2'!$F$15</definedName>
    <definedName localSheetId="0" name="Data_2023_01_24_WinCalendar">'Modelo de Calendário 2026'!$D$17</definedName>
    <definedName localSheetId="5" name="Data_2023_06_02_WinCalendar">'Página5'!$O$34</definedName>
    <definedName localSheetId="0" name="Data_2023_10_22_WinCalendar">'Modelo de Calendário 2026'!$J$56</definedName>
    <definedName localSheetId="5" name="Data_2023_03_03_WinCalendar">'Página5'!$G$23</definedName>
    <definedName localSheetId="1" name="Data_2023_07_08_WinCalendar">'Modelo de Calendário 2025'!$H$45</definedName>
    <definedName localSheetId="5" name="Data_2023_09_14_WinCalendar">'Página5'!$F$56</definedName>
    <definedName localSheetId="0" name="Data_2023_05_03_WinCalendar">#REF!</definedName>
    <definedName localSheetId="6" name="Data_2023_11_13_WinCalendar">'Cópia de Cópia de Modelo de Cal'!$C$67</definedName>
    <definedName localSheetId="0" name="Data_2023_07_04_WinCalendar">'Modelo de Calendário 2026'!$D$44</definedName>
    <definedName localSheetId="4" name="WinCalendar_Calendar_7">'Cópia de Modelo de Calendário 2'!$B$42:$H$51</definedName>
    <definedName localSheetId="5" name="Data_2023_08_03_WinCalendar">#REF!</definedName>
    <definedName localSheetId="6" name="Data_2023_05_16_WinCalendar">'Cópia de Cópia de Modelo de Cal'!$C$36</definedName>
    <definedName localSheetId="4" name="Data_2023_01_10_WinCalendar">'Cópia de Modelo de Calendário 2'!$D$15</definedName>
    <definedName localSheetId="5" name="Data_2023_05_11_WinCalendar">'Página5'!$E$35</definedName>
    <definedName localSheetId="0" name="Data_2023_07_15_WinCalendar">'Modelo de Calendário 2026'!$H$45</definedName>
    <definedName localSheetId="5" name="Data_2023_02_19_WinCalendar">'Página5'!$J$17</definedName>
    <definedName localSheetId="6" name="Data_2023_12_05_WinCalendar">'Cópia de Cópia de Modelo de Cal'!$L$66</definedName>
    <definedName localSheetId="1" name="Data_2023_01_22_WinCalendar">'Modelo de Calendário 2025'!$B$17</definedName>
    <definedName localSheetId="4" name="Data_2023_08_12_WinCalendar">'Cópia de Modelo de Calendário 2'!$P$45</definedName>
    <definedName localSheetId="6" name="Data_2023_05_28_WinCalendar">'Cópia de Cópia de Modelo de Cal'!$H$37</definedName>
    <definedName localSheetId="1" name="Data_2023_11_18_WinCalendar">'Modelo de Calendário 2025'!$H$67</definedName>
    <definedName localSheetId="1" name="Data_2023_07_30_WinCalendar">#REF!</definedName>
    <definedName localSheetId="1" name="Data_2023_01_26_WinCalendar">'Modelo de Calendário 2025'!$F$17</definedName>
    <definedName localSheetId="4" name="Data_2023_03_27_WinCalendar">'Cópia de Modelo de Calendário 2'!$C$27</definedName>
    <definedName localSheetId="1" name="Data_2023_10_25_WinCalendar">'Modelo de Calendário 2025'!$M$57</definedName>
    <definedName localSheetId="4" name="Data_2023_09_18_WinCalendar">'Cópia de Modelo de Calendário 2'!$C$57</definedName>
    <definedName localSheetId="6" name="Data_2023_01_13_WinCalendar">'Cópia de Cópia de Modelo de Cal'!$G$15</definedName>
    <definedName localSheetId="4" name="Data_2023_02_22_WinCalendar">'Cópia de Modelo de Calendário 2'!$M$17</definedName>
    <definedName localSheetId="1" name="Data_2023_12_25_WinCalendar">#REF!</definedName>
    <definedName localSheetId="5" name="Data_2023_08_31_WinCalendar">'Página5'!$N$48</definedName>
    <definedName localSheetId="5" name="Data_2023_06_18_WinCalendar">'Página5'!$J$37</definedName>
    <definedName localSheetId="4" name="Data_2023_03_31_WinCalendar">'Cópia de Modelo de Calendário 2'!$G$27</definedName>
    <definedName localSheetId="5" name="Data_2023_04_16_WinCalendar">'Página5'!$J$26</definedName>
    <definedName localSheetId="0" name="Data_2023_07_24_WinCalendar">'Modelo de Calendário 2026'!$C$47</definedName>
    <definedName localSheetId="6" name="Data_2023_07_27_WinCalendar">'Cópia de Cópia de Modelo de Cal'!$F$48</definedName>
    <definedName localSheetId="4" name="Data_2023_05_20_WinCalendar">'Cópia de Modelo de Calendário 2'!$G$36</definedName>
    <definedName localSheetId="4" name="Data_2023_05_04_WinCalendar">'Cópia de Modelo de Calendário 2'!$E$34</definedName>
    <definedName localSheetId="5" name="Data_2023_01_07_WinCalendar">'Página5'!$H$14</definedName>
    <definedName localSheetId="4" name="Data_2023_09_09_WinCalendar">'Cópia de Modelo de Calendário 2'!$H$55</definedName>
    <definedName localSheetId="1" name="Data_2023_09_12_WinCalendar">'Modelo de Calendário 2025'!$D$56</definedName>
    <definedName localSheetId="4" name="Data_2023_04_04_WinCalendar">'Cópia de Modelo de Calendário 2'!$L$24</definedName>
    <definedName localSheetId="0" name="Data_2023_08_04_WinCalendar">'Modelo de Calendário 2026'!$O$43</definedName>
    <definedName localSheetId="5" name="Data_2023_01_28_WinCalendar">'Página5'!$H$17</definedName>
    <definedName localSheetId="4" name="Data_2023_12_23_WinCalendar">'Cópia de Modelo de Calendário 2'!$P$68</definedName>
    <definedName localSheetId="5" name="Data_2023_03_12_WinCalendar">'Página5'!$B$25</definedName>
    <definedName localSheetId="5" name="Data_2023_01_17_WinCalendar">'Página5'!$D$16</definedName>
    <definedName localSheetId="1" name="Data_2023_10_22_WinCalendar">'Modelo de Calendário 2025'!$J$57</definedName>
    <definedName localSheetId="0" name="Data_2023_01_18_WinCalendar">'Modelo de Calendário 2026'!$E$16</definedName>
    <definedName localSheetId="5" name="Data_2023_05_28_WinCalendar">'Página5'!$H$37</definedName>
    <definedName localSheetId="0" name="Data_2023_06_07_WinCalendar">'Modelo de Calendário 2026'!$M$34</definedName>
    <definedName localSheetId="4" name="WinCalendar_Calendar_12">'Cópia de Modelo de Calendário 2'!$J$63:$P$71</definedName>
    <definedName localSheetId="1" name="Data_2023_08_01_WinCalendar">'Modelo de Calendário 2025'!$N$44</definedName>
    <definedName localSheetId="1" name="Data_2023_01_15_WinCalendar">'Modelo de Calendário 2025'!$B$16</definedName>
    <definedName localSheetId="6" name="Data_2023_09_15_WinCalendar">'Cópia de Cópia de Modelo de Cal'!$G$56</definedName>
    <definedName localSheetId="0" name="Data_2023_08_08_WinCalendar">'Modelo de Calendário 2026'!$L$44</definedName>
    <definedName localSheetId="6" name="Data_2023_12_15_WinCalendar">'Cópia de Cópia de Modelo de Cal'!$O$67</definedName>
    <definedName localSheetId="0" name="Data_2023_07_03_WinCalendar">'Modelo de Calendário 2026'!$B$44</definedName>
    <definedName localSheetId="6" name="Data_2023_10_02_WinCalendar">'Cópia de Cópia de Modelo de Cal'!$K$54</definedName>
    <definedName localSheetId="0" name="Data_2023_03_25_WinCalendar">'Modelo de Calendário 2026'!$H$26</definedName>
    <definedName localSheetId="5" name="Data_2023_08_07_WinCalendar">'Página5'!$K$45</definedName>
    <definedName localSheetId="0" name="Data_2023_12_10_WinCalendar">'Modelo de Calendário 2026'!$J$66</definedName>
    <definedName localSheetId="0" name="Data_2023_07_11_WinCalendar">'Modelo de Calendário 2026'!$D$45</definedName>
    <definedName localSheetId="4" name="Data_2023_11_29_WinCalendar">'Cópia de Modelo de Calendário 2'!$E$69</definedName>
    <definedName localSheetId="1" name="Data_2023_02_24_WinCalendar">'Modelo de Calendário 2025'!$O$17</definedName>
    <definedName localSheetId="0" name="WinCalendar_Calendar_3">'Modelo de Calendário 2026'!$B$21:$H$28</definedName>
    <definedName localSheetId="1" name="Data_2023_07_17_WinCalendar">'Modelo de Calendário 2025'!$C$47</definedName>
    <definedName localSheetId="6" name="Data_2023_10_13_WinCalendar">'Cópia de Cópia de Modelo de Cal'!$O$55</definedName>
    <definedName localSheetId="4" name="Data_2023_01_27_WinCalendar">'Cópia de Modelo de Calendário 2'!$G$17</definedName>
    <definedName localSheetId="4" name="Data_2023_02_14_WinCalendar">'Cópia de Modelo de Calendário 2'!$L$16</definedName>
    <definedName localSheetId="5" name="WinCalendar_Calendar_2">'Página5'!$J$12:$P$20</definedName>
    <definedName localSheetId="1" name="Data_2023_01_17_WinCalendar">'Modelo de Calendário 2025'!$D$16</definedName>
    <definedName localSheetId="5" name="Data_2023_01_02_WinCalendar">'Página5'!$E$14</definedName>
    <definedName localSheetId="5" name="Data_2023_12_21_WinCalendar">'Página5'!$N$68</definedName>
    <definedName localSheetId="5" name="Data_2023_12_26_WinCalendar">#REF!</definedName>
    <definedName localSheetId="0" name="Data_2023_10_14_WinCalendar">'Modelo de Calendário 2026'!$P$54</definedName>
    <definedName localSheetId="0" name="Data_2023_12_01_WinCalendar">'Modelo de Calendário 2026'!$O$64</definedName>
    <definedName localSheetId="4" name="Data_2023_08_25_WinCalendar">'Cópia de Modelo de Calendário 2'!$O$47</definedName>
    <definedName localSheetId="5" name="Data_2023_11_28_WinCalendar">'Página5'!$D$69</definedName>
    <definedName localSheetId="6" name="Data_2023_12_13_WinCalendar">'Cópia de Cópia de Modelo de Cal'!$M$67</definedName>
    <definedName localSheetId="0" name="Data_2023_09_25_WinCalendar">'Modelo de Calendário 2026'!$C$57</definedName>
    <definedName localSheetId="6" name="Data_2023_04_30_WinCalendar">'Cópia de Cópia de Modelo de Cal'!$J$28</definedName>
    <definedName localSheetId="1" name="Data_2023_03_13_WinCalendar">'Modelo de Calendário 2025'!$C$25</definedName>
    <definedName localSheetId="0" name="Data_2023_04_29_WinCalendar">'Modelo de Calendário 2026'!$P$27</definedName>
    <definedName localSheetId="1" name="Data_2023_11_20_WinCalendar">'Modelo de Calendário 2025'!$C$68</definedName>
    <definedName localSheetId="1" name="Data_2023_03_27_WinCalendar">'Modelo de Calendário 2025'!$C$27</definedName>
    <definedName localSheetId="6" name="Data_2023_06_20_WinCalendar">'Cópia de Cópia de Modelo de Cal'!$L$37</definedName>
    <definedName localSheetId="0" name="Data_2023_10_09_WinCalendar">'Modelo de Calendário 2026'!$K$54</definedName>
    <definedName localSheetId="6" name="Data_2023_10_27_WinCalendar">'Cópia de Cópia de Modelo de Cal'!$O$57</definedName>
    <definedName localSheetId="0" name="Data_2023_04_18_WinCalendar">'Modelo de Calendário 2026'!$L$26</definedName>
    <definedName localSheetId="6" name="Data_2023_04_06_WinCalendar">'Cópia de Cópia de Modelo de Cal'!$N$24</definedName>
    <definedName localSheetId="4" name="Data_2023_08_07_WinCalendar">'Cópia de Modelo de Calendário 2'!$K$45</definedName>
    <definedName localSheetId="4" name="Data_2023_06_10_WinCalendar">'Cópia de Modelo de Calendário 2'!$P$35</definedName>
    <definedName localSheetId="1" name="Data_2023_07_03_WinCalendar">'Modelo de Calendário 2025'!$B$45</definedName>
    <definedName localSheetId="5" name="Data_2023_01_16_WinCalendar">'Página5'!$C$16</definedName>
    <definedName localSheetId="0" name="Data_2023_05_13_WinCalendar">'Modelo de Calendário 2026'!$G$34</definedName>
    <definedName localSheetId="5" name="Data_2023_12_17_WinCalendar">'Página5'!$J$68</definedName>
    <definedName localSheetId="0" name="Data_2023_02_04_WinCalendar">'Modelo de Calendário 2026'!$P$14</definedName>
    <definedName localSheetId="4" name="Data_2023_06_23_WinCalendar">'Cópia de Modelo de Calendário 2'!$O$37</definedName>
    <definedName localSheetId="5" name="Data_2023_08_09_WinCalendar">'Página5'!$M$45</definedName>
    <definedName localSheetId="4" name="Data_2023_05_28_WinCalendar">'Cópia de Modelo de Calendário 2'!$H$37</definedName>
    <definedName localSheetId="0" name="Data_2023_12_13_WinCalendar">'Modelo de Calendário 2026'!$M$66</definedName>
    <definedName localSheetId="1" name="Data_2023_03_24_WinCalendar">'Modelo de Calendário 2025'!$G$26</definedName>
    <definedName localSheetId="6" name="Data_2023_08_10_WinCalendar">'Cópia de Cópia de Modelo de Cal'!$N$45</definedName>
    <definedName localSheetId="4" name="Data_2023_10_17_WinCalendar">'Cópia de Modelo de Calendário 2'!$L$56</definedName>
    <definedName localSheetId="0" name="Data_2023_01_16_WinCalendar">'Modelo de Calendário 2026'!$C$16</definedName>
    <definedName localSheetId="4" name="Data_2023_01_30_WinCalendar">'Cópia de Modelo de Calendário 2'!$C$18</definedName>
    <definedName localSheetId="6" name="Data_2023_05_06_WinCalendar">'Cópia de Cópia de Modelo de Cal'!$G$34</definedName>
    <definedName localSheetId="1" name="Data_2023_01_09_WinCalendar">'Modelo de Calendário 2025'!$C$15</definedName>
    <definedName localSheetId="1" name="Data_2023_01_19_WinCalendar">'Modelo de Calendário 2025'!$F$16</definedName>
    <definedName localSheetId="6" name="Data_2023_10_05_WinCalendar">'Cópia de Cópia de Modelo de Cal'!$N$54</definedName>
    <definedName localSheetId="0" name="WinCalendar_Calendar_6">'Modelo de Calendário 2026'!$J$31:$P$40</definedName>
    <definedName localSheetId="4" name="Data_2023_07_06_WinCalendar">'Cópia de Modelo de Calendário 2'!$F$45</definedName>
    <definedName localSheetId="1" name="Data_2023_12_15_WinCalendar">'Modelo de Calendário 2025'!$O$67</definedName>
    <definedName localSheetId="5" name="Data_2023_08_01_WinCalendar">'Página5'!$N$44</definedName>
    <definedName localSheetId="4" name="Data_2023_12_31_WinCalendar">'Cópia de Modelo de Calendário 2'!$J$69</definedName>
    <definedName localSheetId="4" name="Data_2023_01_02_WinCalendar">'Cópia de Modelo de Calendário 2'!$E$14</definedName>
    <definedName localSheetId="0" name="Data_2023_12_02_WinCalendar">'Modelo de Calendário 2026'!$P$64</definedName>
    <definedName localSheetId="4" name="Data_2023_05_16_WinCalendar">'Cópia de Modelo de Calendário 2'!$C$36</definedName>
    <definedName localSheetId="1" name="Data_2023_04_12_WinCalendar">'Modelo de Calendário 2025'!$M$25</definedName>
    <definedName localSheetId="6" name="Data_2023_10_31_WinCalendar">'Cópia de Cópia de Modelo de Cal'!$L$58</definedName>
    <definedName localSheetId="5" name="Data_2023_12_16_WinCalendar">'Página5'!$P$67</definedName>
    <definedName localSheetId="6" name="WinCalendar_Calendar_2">'Cópia de Cópia de Modelo de Cal'!$J$12:$P$20</definedName>
    <definedName localSheetId="4" name="WinCalendar_Calendar_5">'Cópia de Modelo de Calendário 2'!$B$32:$H$41</definedName>
    <definedName localSheetId="0" name="Data_2023_03_29_WinCalendar">'Modelo de Calendário 2026'!$E$27</definedName>
    <definedName localSheetId="0" name="Data_2023_09_20_WinCalendar">'Modelo de Calendário 2026'!$E$56</definedName>
    <definedName localSheetId="5" name="Data_2023_04_25_WinCalendar">'Página5'!$L$27</definedName>
    <definedName localSheetId="4" name="Data_2023_09_21_WinCalendar">'Cópia de Modelo de Calendário 2'!$F$57</definedName>
    <definedName localSheetId="6" name="Data_2023_05_05_WinCalendar">'Cópia de Cópia de Modelo de Cal'!$F$34</definedName>
    <definedName localSheetId="0" name="Data_2023_11_09_WinCalendar">'Modelo de Calendário 2026'!$F$65</definedName>
    <definedName localSheetId="1" name="Data_2023_05_03_WinCalendar">#REF!</definedName>
    <definedName localSheetId="1" name="Data_2023_01_18_WinCalendar">'Modelo de Calendário 2025'!$E$16</definedName>
    <definedName localSheetId="0" name="Data_2023_12_29_WinCalendar">#REF!</definedName>
    <definedName localSheetId="1" name="Data_2023_02_25_WinCalendar">'Modelo de Calendário 2025'!$P$17</definedName>
    <definedName localSheetId="5" name="Data_2023_10_29_WinCalendar">'Página5'!$J$58</definedName>
    <definedName localSheetId="0" name="Data_2023_02_10_WinCalendar">'Modelo de Calendário 2026'!$O$15</definedName>
    <definedName localSheetId="5" name="Data_2023_04_27_WinCalendar">'Página5'!$N$27</definedName>
    <definedName localSheetId="4" name="Data_2023_02_28_WinCalendar">'Cópia de Modelo de Calendário 2'!$L$18</definedName>
    <definedName localSheetId="0" name="Data_2023_02_09_WinCalendar">'Modelo de Calendário 2026'!$N$15</definedName>
    <definedName localSheetId="4" name="Data_2023_06_24_WinCalendar">'Cópia de Modelo de Calendário 2'!$P$37</definedName>
    <definedName localSheetId="0" name="Data_2023_06_30_WinCalendar">#REF!</definedName>
    <definedName localSheetId="0" name="Data_2023_02_20_WinCalendar">'Modelo de Calendário 2026'!$K$17</definedName>
    <definedName localSheetId="1" name="Data_2023_03_20_WinCalendar">'Modelo de Calendário 2025'!$C$26</definedName>
    <definedName localSheetId="4" name="Data_2023_11_11_WinCalendar">'Cópia de Modelo de Calendário 2'!$H$66</definedName>
    <definedName localSheetId="4" name="Data_2023_10_03_WinCalendar">'Cópia de Modelo de Calendário 2'!$L$54</definedName>
    <definedName localSheetId="6" name="Data_2023_03_30_WinCalendar">'Cópia de Cópia de Modelo de Cal'!$F$27</definedName>
    <definedName localSheetId="1" name="WinCalendar_Calendar_6">'Modelo de Calendário 2025'!$J$32:$P$41</definedName>
    <definedName localSheetId="4" name="Data_2023_08_17_WinCalendar">'Cópia de Modelo de Calendário 2'!$N$46</definedName>
    <definedName localSheetId="5" name="Data_2023_02_21_WinCalendar">'Página5'!$L$17</definedName>
    <definedName localSheetId="5" name="Data_2023_01_30_WinCalendar">'Página5'!$C$18</definedName>
    <definedName localSheetId="1" name="Data_2023_04_10_WinCalendar">'Modelo de Calendário 2025'!$K$25</definedName>
    <definedName localSheetId="1" name="Data_2023_06_06_WinCalendar">'Modelo de Calendário 2025'!$L$35</definedName>
    <definedName localSheetId="5" name="Data_2023_01_04_WinCalendar">#REF!</definedName>
    <definedName localSheetId="1" name="Data_2023_04_03_WinCalendar">'Modelo de Calendário 2025'!$K$24</definedName>
    <definedName localSheetId="5" name="Data_2023_01_06_WinCalendar">'Página5'!$G$14</definedName>
    <definedName localSheetId="4" name="Data_2023_01_16_WinCalendar">'Cópia de Modelo de Calendário 2'!$C$16</definedName>
    <definedName localSheetId="1" name="Data_2023_10_08_WinCalendar">'Modelo de Calendário 2025'!$J$55</definedName>
    <definedName localSheetId="6" name="WinCalendar_Calendar_1">'Cópia de Cópia de Modelo de Cal'!$B$12:$H$20</definedName>
    <definedName localSheetId="6" name="Data_2023_02_16_WinCalendar">'Cópia de Cópia de Modelo de Cal'!$N$16</definedName>
    <definedName localSheetId="1" name="Data_2023_06_23_WinCalendar">'Modelo de Calendário 2025'!$O$37</definedName>
    <definedName localSheetId="6" name="Data_2023_01_16_WinCalendar">'Cópia de Cópia de Modelo de Cal'!$C$16</definedName>
    <definedName localSheetId="6" name="Data_2023_12_08_WinCalendar">'Cópia de Cópia de Modelo de Cal'!$O$66</definedName>
    <definedName localSheetId="0" name="Data_2023_09_06_WinCalendar">'Modelo de Calendário 2026'!$E$54</definedName>
    <definedName localSheetId="1" name="Data_2023_01_28_WinCalendar">'Modelo de Calendário 2025'!$H$17</definedName>
    <definedName localSheetId="1" name="Data_2023_01_11_WinCalendar">'Modelo de Calendário 2025'!$E$15</definedName>
    <definedName localSheetId="1" name="Data_2023_09_23_WinCalendar">'Modelo de Calendário 2025'!$H$57</definedName>
    <definedName localSheetId="6" name="Data_2023_05_11_WinCalendar">'Cópia de Cópia de Modelo de Cal'!$E$35</definedName>
    <definedName localSheetId="4" name="Data_2023_07_28_WinCalendar">'Cópia de Modelo de Calendário 2'!$G$48</definedName>
    <definedName localSheetId="6" name="Data_2023_11_23_WinCalendar">'Cópia de Cópia de Modelo de Cal'!$F$68</definedName>
    <definedName localSheetId="1" name="Data_2023_03_06_WinCalendar">'Modelo de Calendário 2025'!$C$24</definedName>
    <definedName localSheetId="6" name="Data_2023_11_21_WinCalendar">'Cópia de Cópia de Modelo de Cal'!$D$68</definedName>
    <definedName localSheetId="4" name="Data_2023_03_13_WinCalendar">'Cópia de Modelo de Calendário 2'!$C$25</definedName>
    <definedName localSheetId="6" name="Data_2023_07_04_WinCalendar">'Cópia de Cópia de Modelo de Cal'!$D$45</definedName>
    <definedName localSheetId="1" name="Data_2023_10_19_WinCalendar">'Modelo de Calendário 2025'!$N$56</definedName>
    <definedName localSheetId="6" name="WinCalendar_Calendar_12">'Cópia de Cópia de Modelo de Cal'!$J$63:$P$71</definedName>
    <definedName localSheetId="0" name="Data_2023_05_07_WinCalendar">'Modelo de Calendário 2026'!$H$33</definedName>
    <definedName localSheetId="5" name="Data_2023_09_11_WinCalendar">'Página5'!$C$56</definedName>
    <definedName localSheetId="4" name="Data_2023_10_28_WinCalendar">'Cópia de Modelo de Calendário 2'!$P$57</definedName>
    <definedName localSheetId="4" name="Data_2023_11_12_WinCalendar">'Cópia de Modelo de Calendário 2'!$B$67</definedName>
    <definedName localSheetId="6" name="Data_2023_10_19_WinCalendar">'Cópia de Cópia de Modelo de Cal'!$N$56</definedName>
    <definedName localSheetId="5" name="Data_2023_04_15_WinCalendar">'Página5'!$P$25</definedName>
    <definedName localSheetId="4" name="Data_2023_09_24_WinCalendar">'Cópia de Modelo de Calendário 2'!$B$58</definedName>
    <definedName localSheetId="1" name="Data_2023_04_04_WinCalendar">'Modelo de Calendário 2025'!$L$24</definedName>
    <definedName localSheetId="6" name="WinCalendar_Calendar_4">'Cópia de Cópia de Modelo de Cal'!$J$21:$P$31</definedName>
    <definedName localSheetId="0" name="Data_2023_10_18_WinCalendar">'Modelo de Calendário 2026'!$M$55</definedName>
    <definedName localSheetId="6" name="Data_2023_01_28_WinCalendar">'Cópia de Cópia de Modelo de Cal'!$H$17</definedName>
    <definedName localSheetId="0" name="Data_2023_11_03_WinCalendar">'Modelo de Calendário 2026'!$G$64</definedName>
    <definedName localSheetId="6" name="Data_2023_12_11_WinCalendar">'Cópia de Cópia de Modelo de Cal'!$K$67</definedName>
    <definedName localSheetId="0" name="Data_2023_02_27_WinCalendar">'Modelo de Calendário 2026'!$K$18</definedName>
    <definedName localSheetId="1" name="Data_2023_08_16_WinCalendar">'Modelo de Calendário 2025'!$M$46</definedName>
    <definedName localSheetId="0" name="Data_2023_06_09_WinCalendar">'Modelo de Calendário 2026'!$O$34</definedName>
    <definedName localSheetId="4" name="Data_2023_10_22_WinCalendar">'Cópia de Modelo de Calendário 2'!$J$57</definedName>
    <definedName localSheetId="6" name="Data_2023_11_15_WinCalendar">'Cópia de Cópia de Modelo de Cal'!$E$67</definedName>
    <definedName localSheetId="1" name="Data_2023_01_08_WinCalendar">'Modelo de Calendário 2025'!$B$15</definedName>
    <definedName localSheetId="0" name="Data_2023_03_07_WinCalendar">'Modelo de Calendário 2026'!$D$24</definedName>
    <definedName localSheetId="5" name="Data_2023_02_11_WinCalendar">'Página5'!$P$15</definedName>
    <definedName localSheetId="1" name="Data_2023_04_02_WinCalendar">'Modelo de Calendário 2025'!$J$24</definedName>
    <definedName localSheetId="5" name="Data_2023_07_24_WinCalendar">'Página5'!$C$48</definedName>
    <definedName localSheetId="1" name="Data_2023_06_29_WinCalendar">#REF!</definedName>
    <definedName localSheetId="5" name="Data_2023_10_07_WinCalendar">'Página5'!$P$54</definedName>
    <definedName localSheetId="1" name="Data_2023_06_27_WinCalendar">#REF!</definedName>
    <definedName localSheetId="4" name="Data_2023_06_03_WinCalendar">'Cópia de Modelo de Calendário 2'!$P$34</definedName>
    <definedName localSheetId="1" name="WinCalendar_Calendar_4">'Modelo de Calendário 2025'!$J$21:$P$31</definedName>
    <definedName localSheetId="1" name="Data_2023_07_07_WinCalendar">'Modelo de Calendário 2025'!$G$45</definedName>
    <definedName localSheetId="0" name="Data_2023_07_08_WinCalendar">'Modelo de Calendário 2026'!$H$44</definedName>
    <definedName localSheetId="6" name="Data_2023_08_19_WinCalendar">'Cópia de Cópia de Modelo de Cal'!$P$46</definedName>
    <definedName localSheetId="6" name="Data_2023_11_08_WinCalendar">'Cópia de Cópia de Modelo de Cal'!$E$66</definedName>
    <definedName localSheetId="5" name="Data_2023_12_10_WinCalendar">'Página5'!$J$67</definedName>
    <definedName localSheetId="6" name="Data_2023_11_26_WinCalendar">'Cópia de Cópia de Modelo de Cal'!$B$69</definedName>
    <definedName localSheetId="1" name="Data_2023_12_24_WinCalendar">#REF!</definedName>
    <definedName localSheetId="1" name="WinCalendar_Calendar_10">'Modelo de Calendário 2025'!$J$52:$P$62</definedName>
    <definedName localSheetId="5" name="Data_2023_12_05_WinCalendar">'Página5'!$L$66</definedName>
    <definedName localSheetId="0" name="Data_2023_10_23_WinCalendar">'Modelo de Calendário 2026'!$K$56</definedName>
    <definedName localSheetId="1" name="Data_2023_01_07_WinCalendar">'Modelo de Calendário 2025'!$H$14</definedName>
    <definedName localSheetId="0" name="Data_2023_09_15_WinCalendar">'Modelo de Calendário 2026'!$G$55</definedName>
    <definedName localSheetId="4" name="Data_2023_04_14_WinCalendar">'Cópia de Modelo de Calendário 2'!$O$25</definedName>
    <definedName localSheetId="0" name="Data_2023_01_27_WinCalendar">'Modelo de Calendário 2026'!$G$17</definedName>
    <definedName localSheetId="0" name="Data_2023_12_30_WinCalendar">#REF!</definedName>
    <definedName localSheetId="5" name="Data_2023_10_26_WinCalendar">'Página5'!$N$57</definedName>
    <definedName localSheetId="4" name="Data_2023_01_06_WinCalendar">'Cópia de Modelo de Calendário 2'!$G$14</definedName>
    <definedName localSheetId="6" name="Data_2023_03_15_WinCalendar">'Cópia de Cópia de Modelo de Cal'!$E$25</definedName>
    <definedName localSheetId="1" name="Data_2023_09_18_WinCalendar">'Modelo de Calendário 2025'!$C$57</definedName>
    <definedName localSheetId="0" name="Data_2023_06_17_WinCalendar">'Modelo de Calendário 2026'!$P$35</definedName>
    <definedName localSheetId="5" name="Data_2023_12_15_WinCalendar">'Página5'!$O$67</definedName>
    <definedName localSheetId="6" name="Data_2023_02_03_WinCalendar">'Cópia de Cópia de Modelo de Cal'!$O$14</definedName>
    <definedName localSheetId="4" name="Data_2023_08_23_WinCalendar">'Cópia de Modelo de Calendário 2'!$M$47</definedName>
    <definedName localSheetId="0" name="Data_2023_03_04_WinCalendar">'Modelo de Calendário 2026'!$H$23</definedName>
    <definedName localSheetId="6" name="Data_2023_10_04_WinCalendar">'Cópia de Cópia de Modelo de Cal'!$M$54</definedName>
    <definedName localSheetId="0" name="Data_2023_11_30_WinCalendar">'Modelo de Calendário 2026'!$F$68</definedName>
    <definedName localSheetId="1" name="Data_2023_11_24_WinCalendar">'Modelo de Calendário 2025'!$G$68</definedName>
    <definedName localSheetId="5" name="Data_2023_12_23_WinCalendar">'Página5'!$P$68</definedName>
    <definedName localSheetId="4" name="Data_2023_05_11_WinCalendar">'Cópia de Modelo de Calendário 2'!$E$35</definedName>
    <definedName localSheetId="1" name="Data_2023_09_19_WinCalendar">'Modelo de Calendário 2025'!$D$57</definedName>
    <definedName localSheetId="6" name="Data_2023_01_26_WinCalendar">'Cópia de Cópia de Modelo de Cal'!$F$17</definedName>
    <definedName localSheetId="6" name="Data_2023_02_21_WinCalendar">'Cópia de Cópia de Modelo de Cal'!$L$17</definedName>
    <definedName localSheetId="6" name="Data_2023_02_02_WinCalendar">'Cópia de Cópia de Modelo de Cal'!$N$14</definedName>
    <definedName localSheetId="1" name="Data_2023_12_16_WinCalendar">'Modelo de Calendário 2025'!$P$67</definedName>
    <definedName localSheetId="4" name="Data_2023_10_29_WinCalendar">'Cópia de Modelo de Calendário 2'!$J$58</definedName>
    <definedName localSheetId="4" name="Data_2023_02_08_WinCalendar">'Cópia de Modelo de Calendário 2'!$M$15</definedName>
    <definedName localSheetId="4" name="Data_2023_09_02_WinCalendar">'Cópia de Modelo de Calendário 2'!$H$54</definedName>
    <definedName localSheetId="0" name="Data_2023_01_06_WinCalendar">'Modelo de Calendário 2026'!$G$14</definedName>
    <definedName localSheetId="4" name="Data_2023_10_15_WinCalendar">'Cópia de Modelo de Calendário 2'!$J$56</definedName>
    <definedName localSheetId="0" name="Data_2023_04_28_WinCalendar">'Modelo de Calendário 2026'!$O$27</definedName>
    <definedName localSheetId="6" name="Data_2023_04_27_WinCalendar">'Cópia de Cópia de Modelo de Cal'!$N$27</definedName>
    <definedName localSheetId="4" name="Data_2023_04_17_WinCalendar">'Cópia de Modelo de Calendário 2'!$K$26</definedName>
    <definedName localSheetId="4" name="Data_2023_11_24_WinCalendar">'Cópia de Modelo de Calendário 2'!$G$68</definedName>
    <definedName localSheetId="6" name="Data_2023_12_23_WinCalendar">'Cópia de Cópia de Modelo de Cal'!$P$68</definedName>
    <definedName localSheetId="0" name="Data_2023_03_24_WinCalendar">'Modelo de Calendário 2026'!$G$26</definedName>
    <definedName localSheetId="5" name="Data_2023_08_18_WinCalendar">'Página5'!$O$46</definedName>
    <definedName localSheetId="5" name="Data_2023_01_14_WinCalendar">'Página5'!$H$15</definedName>
    <definedName localSheetId="5" name="Data_2023_08_22_WinCalendar">'Página5'!$L$47</definedName>
    <definedName localSheetId="6" name="Data_2023_11_19_WinCalendar">'Cópia de Cópia de Modelo de Cal'!$B$68</definedName>
    <definedName localSheetId="4" name="WinCalendar_Calendar_3">'Cópia de Modelo de Calendário 2'!$B$21:$H$29</definedName>
    <definedName localSheetId="5" name="Data_2023_04_21_WinCalendar">'Página5'!$O$26</definedName>
    <definedName localSheetId="0" name="Data_2023_11_29_WinCalendar">'Modelo de Calendário 2026'!$E$68</definedName>
    <definedName localSheetId="5" name="Data_2023_11_18_WinCalendar">'Página5'!$H$67</definedName>
    <definedName localSheetId="0" name="Data_2023_01_12_WinCalendar">'Modelo de Calendário 2026'!$F$15</definedName>
    <definedName localSheetId="0" name="Data_2023_05_27_WinCalendar">'Modelo de Calendário 2026'!$G$36</definedName>
    <definedName localSheetId="1" name="Data_2023_03_28_WinCalendar">'Modelo de Calendário 2025'!$D$27</definedName>
    <definedName localSheetId="6" name="Data_2023_08_26_WinCalendar">'Cópia de Cópia de Modelo de Cal'!$P$47</definedName>
    <definedName localSheetId="6" name="Data_2023_05_22_WinCalendar">'Cópia de Cópia de Modelo de Cal'!$B$37</definedName>
    <definedName localSheetId="1" name="Data_2023_03_17_WinCalendar">'Modelo de Calendário 2025'!$G$25</definedName>
    <definedName localSheetId="6" name="Data_2023_12_09_WinCalendar">'Cópia de Cópia de Modelo de Cal'!$P$66</definedName>
    <definedName localSheetId="6" name="Data_2023_12_16_WinCalendar">'Cópia de Cópia de Modelo de Cal'!$P$67</definedName>
    <definedName localSheetId="0" name="Data_2023_01_03_WinCalendar">'Modelo de Calendário 2026'!$D$14</definedName>
    <definedName localSheetId="4" name="Data_2023_03_18_WinCalendar">'Cópia de Modelo de Calendário 2'!$H$25</definedName>
    <definedName localSheetId="1" name="Data_2023_05_31_WinCalendar">'Modelo de Calendário 2025'!$D$38</definedName>
    <definedName localSheetId="0" name="Data_2023_09_29_WinCalendar">'Modelo de Calendário 2026'!$G$57</definedName>
    <definedName localSheetId="6" name="WinCalendar_Calendar_9">'Cópia de Cópia de Modelo de Cal'!$B$52:$H$62</definedName>
    <definedName localSheetId="6" name="Data_2023_09_09_WinCalendar">'Cópia de Cópia de Modelo de Cal'!$H$55</definedName>
    <definedName localSheetId="0" name="Data_2023_11_22_WinCalendar">'Modelo de Calendário 2026'!$E$67</definedName>
    <definedName localSheetId="4" name="Data_2023_09_03_WinCalendar">'Cópia de Modelo de Calendário 2'!$B$55</definedName>
    <definedName localSheetId="5" name="Data_2023_05_26_WinCalendar">'Página5'!$F$37</definedName>
    <definedName localSheetId="4" name="Data_2023_12_02_WinCalendar">'Cópia de Modelo de Calendário 2'!$P$65</definedName>
    <definedName localSheetId="0" name="Data_2023_06_10_WinCalendar">'Modelo de Calendário 2026'!$P$34</definedName>
    <definedName localSheetId="0" name="Data_2023_08_02_WinCalendar">'Modelo de Calendário 2026'!$M$43</definedName>
    <definedName localSheetId="1" name="Data_2023_03_10_WinCalendar">'Modelo de Calendário 2025'!$G$24</definedName>
    <definedName localSheetId="5" name="Data_2023_04_28_WinCalendar">'Página5'!$O$27</definedName>
    <definedName localSheetId="4" name="Data_2023_03_11_WinCalendar">'Cópia de Modelo de Calendário 2'!$H$24</definedName>
    <definedName localSheetId="1" name="Data_2023_11_06_WinCalendar">'Modelo de Calendário 2025'!$C$66</definedName>
    <definedName localSheetId="1" name="Data_2023_08_27_WinCalendar">'Modelo de Calendário 2025'!$J$48</definedName>
    <definedName localSheetId="0" name="Data_2023_06_26_WinCalendar">#REF!</definedName>
    <definedName localSheetId="0" name="Data_2023_10_13_WinCalendar">'Modelo de Calendário 2026'!$O$54</definedName>
    <definedName localSheetId="6" name="Data_2023_09_11_WinCalendar">'Cópia de Cópia de Modelo de Cal'!$C$56</definedName>
    <definedName localSheetId="0" name="Data_2023_04_02_WinCalendar">'Modelo de Calendário 2026'!$J$24</definedName>
    <definedName localSheetId="1" name="Data_2023_04_17_WinCalendar">'Modelo de Calendário 2025'!$K$26</definedName>
    <definedName localSheetId="4" name="Data_2023_06_25_WinCalendar">#REF!</definedName>
    <definedName localSheetId="1" name="Data_2023_05_16_WinCalendar">'Modelo de Calendário 2025'!$C$36</definedName>
    <definedName localSheetId="1" name="Data_2023_03_18_WinCalendar">'Modelo de Calendário 2025'!$H$25</definedName>
    <definedName localSheetId="0" name="Data_2023_03_19_WinCalendar">'Modelo de Calendário 2026'!$B$26</definedName>
    <definedName localSheetId="4" name="Data_2023_11_14_WinCalendar">'Cópia de Modelo de Calendário 2'!$D$67</definedName>
    <definedName localSheetId="6" name="Data_2023_01_14_WinCalendar">'Cópia de Cópia de Modelo de Cal'!$H$15</definedName>
    <definedName localSheetId="6" name="Data_2023_03_26_WinCalendar">'Cópia de Cópia de Modelo de Cal'!$B$27</definedName>
    <definedName localSheetId="1" name="Data_2023_12_18_WinCalendar">'Modelo de Calendário 2025'!$K$68</definedName>
    <definedName localSheetId="1" name="Data_2023_09_08_WinCalendar">'Modelo de Calendário 2025'!$G$55</definedName>
    <definedName localSheetId="5" name="Data_2023_10_30_WinCalendar">'Página5'!$K$58</definedName>
    <definedName localSheetId="4" name="Data_2023_08_15_WinCalendar">'Cópia de Modelo de Calendário 2'!$L$46</definedName>
    <definedName localSheetId="1" name="Data_2023_03_22_WinCalendar">'Modelo de Calendário 2025'!$E$26</definedName>
    <definedName localSheetId="1" name="Data_2023_08_30_WinCalendar">'Modelo de Calendário 2025'!$M$48</definedName>
    <definedName localSheetId="0" name="Data_2023_02_13_WinCalendar">'Modelo de Calendário 2026'!$K$16</definedName>
    <definedName localSheetId="4" name="Data_2023_06_21_WinCalendar">'Cópia de Modelo de Calendário 2'!$M$37</definedName>
    <definedName localSheetId="1" name="Data_2023_07_25_WinCalendar">'Modelo de Calendário 2025'!$D$48</definedName>
    <definedName localSheetId="4" name="Data_2023_11_25_WinCalendar">'Cópia de Modelo de Calendário 2'!$H$68</definedName>
    <definedName localSheetId="0" name="Data_2023_01_20_WinCalendar">'Modelo de Calendário 2026'!$G$16</definedName>
    <definedName localSheetId="6" name="Data_2023_01_09_WinCalendar">'Cópia de Cópia de Modelo de Cal'!$C$15</definedName>
    <definedName localSheetId="1" name="Data_2023_12_30_WinCalendar">#REF!</definedName>
    <definedName localSheetId="4" name="Data_2023_09_29_WinCalendar">'Cópia de Modelo de Calendário 2'!$G$58</definedName>
    <definedName localSheetId="1" name="Data_2023_07_14_WinCalendar">'Modelo de Calendário 2025'!$G$46</definedName>
    <definedName localSheetId="4" name="Data_2023_02_21_WinCalendar">'Cópia de Modelo de Calendário 2'!$L$17</definedName>
    <definedName localSheetId="6" name="Data_2023_03_20_WinCalendar">'Cópia de Cópia de Modelo de Cal'!$C$26</definedName>
    <definedName localSheetId="4" name="Data_2023_12_28_WinCalendar">#REF!</definedName>
    <definedName localSheetId="5" name="Data_2023_08_12_WinCalendar">'Página5'!$P$45</definedName>
    <definedName localSheetId="4" name="Data_2023_10_30_WinCalendar">'Cópia de Modelo de Calendário 2'!$K$58</definedName>
    <definedName localSheetId="5" name="Data_2023_07_31_WinCalendar">#REF!</definedName>
    <definedName localSheetId="4" name="Data_2023_07_04_WinCalendar">'Cópia de Modelo de Calendário 2'!$D$45</definedName>
    <definedName localSheetId="1" name="Data_2023_05_14_WinCalendar">'Modelo de Calendário 2025'!$H$35</definedName>
    <definedName localSheetId="6" name="Data_2023_04_04_WinCalendar">'Cópia de Cópia de Modelo de Cal'!$L$24</definedName>
    <definedName localSheetId="5" name="Data_2023_10_21_WinCalendar">'Página5'!$P$56</definedName>
    <definedName localSheetId="5" name="Data_2023_04_02_WinCalendar">'Página5'!$J$24</definedName>
    <definedName localSheetId="0" name="Data_2023_02_24_WinCalendar">'Modelo de Calendário 2026'!$O$17</definedName>
    <definedName localSheetId="4" name="Data_2023_10_14_WinCalendar">'Cópia de Modelo de Calendário 2'!$P$55</definedName>
    <definedName localSheetId="1" name="Data_2023_11_29_WinCalendar">'Modelo de Calendário 2025'!$E$69</definedName>
    <definedName localSheetId="1" name="Data_2023_08_28_WinCalendar">'Modelo de Calendário 2025'!$K$48</definedName>
    <definedName localSheetId="6" name="Data_2023_03_03_WinCalendar">'Cópia de Cópia de Modelo de Cal'!$G$23</definedName>
    <definedName localSheetId="0" name="Data_2023_03_28_WinCalendar">'Modelo de Calendário 2026'!$D$27</definedName>
    <definedName localSheetId="0" name="Data_2023_02_05_WinCalendar">'Modelo de Calendário 2026'!$J$15</definedName>
    <definedName localSheetId="1" name="Data_2023_01_06_WinCalendar">'Modelo de Calendário 2025'!$G$14</definedName>
    <definedName localSheetId="6" name="Data_2023_10_29_WinCalendar">'Cópia de Cópia de Modelo de Cal'!$J$58</definedName>
    <definedName localSheetId="0" name="Data_2023_12_07_WinCalendar">'Modelo de Calendário 2026'!$N$65</definedName>
    <definedName localSheetId="0" name="Data_2023_12_12_WinCalendar">'Modelo de Calendário 2026'!$L$66</definedName>
    <definedName localSheetId="5" name="Data_2023_01_05_WinCalendar">'Página5'!$F$14</definedName>
    <definedName localSheetId="0" name="Data_2023_07_10_WinCalendar">'Modelo de Calendário 2026'!$C$45</definedName>
    <definedName localSheetId="5" name="Data_2023_05_13_WinCalendar">'Página5'!$G$35</definedName>
    <definedName localSheetId="4" name="Data_2023_06_09_WinCalendar">'Cópia de Modelo de Calendário 2'!$O$35</definedName>
    <definedName localSheetId="6" name="Data_2023_10_20_WinCalendar">'Cópia de Cópia de Modelo de Cal'!$O$56</definedName>
    <definedName localSheetId="0" name="Data_2023_05_23_WinCalendar">'Modelo de Calendário 2026'!$C$36</definedName>
    <definedName localSheetId="5" name="Data_2023_10_19_WinCalendar">'Página5'!$N$56</definedName>
    <definedName localSheetId="4" name="Data_2023_06_04_WinCalendar">'Cópia de Modelo de Calendário 2'!$J$35</definedName>
    <definedName localSheetId="0" name="Data_2023_02_16_WinCalendar">'Modelo de Calendário 2026'!$N$16</definedName>
    <definedName localSheetId="5" name="Data_2023_09_16_WinCalendar">'Página5'!$H$56</definedName>
    <definedName localSheetId="5" name="Data_2023_10_31_WinCalendar">'Página5'!$L$58</definedName>
    <definedName localSheetId="4" name="Data_2023_01_29_WinCalendar">'Cópia de Modelo de Calendário 2'!$B$18</definedName>
    <definedName localSheetId="1" name="Data_2023_03_05_WinCalendar">'Modelo de Calendário 2025'!$B$24</definedName>
    <definedName localSheetId="1" name="Data_2023_12_14_WinCalendar">'Modelo de Calendário 2025'!$N$67</definedName>
    <definedName localSheetId="5" name="Data_2023_04_23_WinCalendar">'Página5'!$J$27</definedName>
    <definedName localSheetId="5" name="Data_2023_12_20_WinCalendar">'Página5'!$M$68</definedName>
    <definedName localSheetId="5" name="Data_2023_03_20_WinCalendar">'Página5'!$C$26</definedName>
    <definedName localSheetId="5" name="Data_2023_03_21_WinCalendar">'Página5'!$D$26</definedName>
    <definedName localSheetId="6" name="Data_2023_02_12_WinCalendar">'Cópia de Cópia de Modelo de Cal'!$J$16</definedName>
    <definedName localSheetId="1" name="Data_2023_09_24_WinCalendar">'Modelo de Calendário 2025'!$B$58</definedName>
    <definedName localSheetId="0" name="Data_2023_04_27_WinCalendar">'Modelo de Calendário 2026'!$N$27</definedName>
    <definedName localSheetId="0" name="Data_2023_01_13_WinCalendar">'Modelo de Calendário 2026'!$G$15</definedName>
    <definedName localSheetId="6" name="Data_2023_06_18_WinCalendar">'Cópia de Cópia de Modelo de Cal'!$J$37</definedName>
    <definedName localSheetId="0" name="Data_2023_06_04_WinCalendar">'Modelo de Calendário 2026'!$J$34</definedName>
    <definedName localSheetId="0" name="Data_2023_10_02_WinCalendar">'Modelo de Calendário 2026'!$K$53</definedName>
    <definedName localSheetId="6" name="Data_2023_01_04_WinCalendar">#REF!</definedName>
    <definedName localSheetId="5" name="Data_2023_04_05_WinCalendar">'Página5'!$M$24</definedName>
    <definedName localSheetId="4" name="Data_2023_04_13_WinCalendar">'Cópia de Modelo de Calendário 2'!$N$25</definedName>
    <definedName localSheetId="4" name="Data_2023_05_22_WinCalendar">'Cópia de Modelo de Calendário 2'!$B$37</definedName>
    <definedName localSheetId="4" name="Data_2023_07_20_WinCalendar">'Cópia de Modelo de Calendário 2'!$F$47</definedName>
    <definedName localSheetId="0" name="Data_2023_11_11_WinCalendar">'Modelo de Calendário 2026'!$H$65</definedName>
    <definedName localSheetId="1" name="Data_2023_01_03_WinCalendar">'Modelo de Calendário 2025'!$D$14</definedName>
    <definedName localSheetId="5" name="Data_2023_02_15_WinCalendar">'Página5'!$M$16</definedName>
    <definedName localSheetId="5" name="Data_2023_05_08_WinCalendar">'Página5'!$B$35</definedName>
    <definedName localSheetId="0" name="Data_2023_09_09_WinCalendar">'Modelo de Calendário 2026'!$H$54</definedName>
    <definedName localSheetId="5" name="Data_2023_02_24_WinCalendar">'Página5'!$O$17</definedName>
    <definedName localSheetId="4" name="Data_2023_12_21_WinCalendar">'Cópia de Modelo de Calendário 2'!$N$68</definedName>
    <definedName localSheetId="5" name="Data_2023_11_13_WinCalendar">'Página5'!$C$67</definedName>
    <definedName localSheetId="6" name="Data_2023_08_09_WinCalendar">'Cópia de Cópia de Modelo de Cal'!$M$45</definedName>
    <definedName localSheetId="0" name="Data_2023_02_22_WinCalendar">'Modelo de Calendário 2026'!$M$17</definedName>
    <definedName localSheetId="1" name="Data_2023_08_22_WinCalendar">'Modelo de Calendário 2025'!$L$47</definedName>
    <definedName localSheetId="5" name="Data_2023_01_15_WinCalendar">'Página5'!$B$16</definedName>
    <definedName localSheetId="4" name="Data_2023_01_18_WinCalendar">'Cópia de Modelo de Calendário 2'!$E$16</definedName>
    <definedName localSheetId="6" name="Data_2023_10_11_WinCalendar">'Cópia de Cópia de Modelo de Cal'!$M$55</definedName>
    <definedName localSheetId="4" name="Data_2023_11_06_WinCalendar">'Cópia de Modelo de Calendário 2'!$C$66</definedName>
    <definedName localSheetId="6" name="Data_2023_04_09_WinCalendar">'Cópia de Cópia de Modelo de Cal'!$J$25</definedName>
    <definedName localSheetId="1" name="Data_2023_06_22_WinCalendar">'Modelo de Calendário 2025'!$N$37</definedName>
    <definedName localSheetId="4" name="Data_2023_09_01_WinCalendar">'Cópia de Modelo de Calendário 2'!$G$54</definedName>
    <definedName localSheetId="6" name="Data_2023_04_18_WinCalendar">'Cópia de Cópia de Modelo de Cal'!$L$26</definedName>
    <definedName localSheetId="6" name="Data_2023_03_14_WinCalendar">'Cópia de Cópia de Modelo de Cal'!$D$25</definedName>
    <definedName localSheetId="5" name="Data_2023_06_25_WinCalendar">#REF!</definedName>
    <definedName localSheetId="5" name="Data_2023_09_22_WinCalendar">'Página5'!$G$57</definedName>
    <definedName localSheetId="1" name="Data_2023_11_12_WinCalendar">'Modelo de Calendário 2025'!$B$67</definedName>
    <definedName localSheetId="1" name="Data_2023_07_04_WinCalendar">'Modelo de Calendário 2025'!$D$45</definedName>
    <definedName localSheetId="0" name="Data_2023_08_16_WinCalendar">'Modelo de Calendário 2026'!$M$45</definedName>
    <definedName localSheetId="0" name="Data_2023_09_10_WinCalendar">'Modelo de Calendário 2026'!$B$55</definedName>
    <definedName localSheetId="0" name="Data_2023_08_01_WinCalendar">'Modelo de Calendário 2026'!$N$43</definedName>
    <definedName localSheetId="5" name="Data_2023_02_12_WinCalendar">'Página5'!$J$16</definedName>
    <definedName localSheetId="6" name="Data_2023_09_01_WinCalendar">'Cópia de Cópia de Modelo de Cal'!$G$54</definedName>
    <definedName localSheetId="4" name="Data_2023_09_28_WinCalendar">'Cópia de Modelo de Calendário 2'!$F$58</definedName>
    <definedName localSheetId="4" name="Data_2023_08_04_WinCalendar">'Cópia de Modelo de Calendário 2'!$O$44</definedName>
    <definedName localSheetId="4" name="Data_2023_05_13_WinCalendar">'Cópia de Modelo de Calendário 2'!$G$35</definedName>
    <definedName localSheetId="0" name="Data_2023_03_01_WinCalendar">'Modelo de Calendário 2026'!$E$23</definedName>
    <definedName localSheetId="6" name="WinCalendar_Calendar_6">'Cópia de Cópia de Modelo de Cal'!$J$32:$P$41</definedName>
    <definedName localSheetId="5" name="Data_2023_07_07_WinCalendar">'Página5'!$G$45</definedName>
    <definedName localSheetId="5" name="Data_2023_09_12_WinCalendar">'Página5'!$D$56</definedName>
    <definedName localSheetId="4" name="Data_2023_05_14_WinCalendar">'Cópia de Modelo de Calendário 2'!$H$35</definedName>
    <definedName localSheetId="6" name="Data_2023_01_25_WinCalendar">'Cópia de Cópia de Modelo de Cal'!$E$17</definedName>
    <definedName localSheetId="1" name="Data_2023_06_03_WinCalendar">'Modelo de Calendário 2025'!$P$34</definedName>
    <definedName localSheetId="0" name="Data_2023_01_10_WinCalendar">'Modelo de Calendário 2026'!$D$15</definedName>
    <definedName localSheetId="5" name="Data_2023_07_22_WinCalendar">'Página5'!$H$47</definedName>
    <definedName localSheetId="6" name="Data_2023_05_20_WinCalendar">'Cópia de Cópia de Modelo de Cal'!$G$36</definedName>
    <definedName localSheetId="1" name="Data_2023_03_15_WinCalendar">'Modelo de Calendário 2025'!$E$25</definedName>
    <definedName localSheetId="4" name="Data_2023_10_16_WinCalendar">'Cópia de Modelo de Calendário 2'!$K$56</definedName>
    <definedName localSheetId="4" name="Data_2023_08_08_WinCalendar">'Cópia de Modelo de Calendário 2'!$L$45</definedName>
    <definedName localSheetId="5" name="Data_2023_06_01_WinCalendar">'Página5'!$N$34</definedName>
    <definedName localSheetId="0" name="Data_2023_03_10_WinCalendar">'Modelo de Calendário 2026'!$G$24</definedName>
    <definedName localSheetId="1" name="Data_2023_02_16_WinCalendar">'Modelo de Calendário 2025'!$N$16</definedName>
    <definedName localSheetId="5" name="Data_2023_10_20_WinCalendar">'Página5'!$O$56</definedName>
    <definedName localSheetId="1" name="Data_2023_02_21_WinCalendar">'Modelo de Calendário 2025'!$L$17</definedName>
    <definedName localSheetId="1" name="Data_2023_04_23_WinCalendar">'Modelo de Calendário 2025'!$J$27</definedName>
    <definedName localSheetId="4" name="Data_2023_12_08_WinCalendar">'Cópia de Modelo de Calendário 2'!$O$66</definedName>
    <definedName localSheetId="5" name="Data_2023_11_03_WinCalendar">'Página5'!$G$65</definedName>
    <definedName localSheetId="0" name="Data_2023_07_29_WinCalendar">'Modelo de Calendário 2026'!$H$47</definedName>
    <definedName localSheetId="4" name="Data_2023_03_09_WinCalendar">'Cópia de Modelo de Calendário 2'!$F$24</definedName>
    <definedName localSheetId="5" name="Data_2023_05_05_WinCalendar">'Página5'!$F$34</definedName>
    <definedName localSheetId="0" name="Data_2023_03_16_WinCalendar">'Modelo de Calendário 2026'!$F$25</definedName>
    <definedName localSheetId="5" name="Data_2023_06_17_WinCalendar">'Página5'!$P$36</definedName>
    <definedName localSheetId="1" name="Data_2023_04_08_WinCalendar">'Modelo de Calendário 2025'!$P$24</definedName>
    <definedName localSheetId="5" name="WinCalendar_Calendar_11">'Página5'!$B$63:$H$70</definedName>
    <definedName localSheetId="5" name="Data_2023_09_08_WinCalendar">'Página5'!$G$55</definedName>
    <definedName localSheetId="0" name="Data_2023_07_01_WinCalendar">'Modelo de Calendário 2026'!$H$43</definedName>
    <definedName localSheetId="4" name="Data_2023_10_02_WinCalendar">'Cópia de Modelo de Calendário 2'!$K$54</definedName>
    <definedName localSheetId="4" name="Data_2023_08_03_WinCalendar">#REF!</definedName>
    <definedName localSheetId="0" name="Data_2023_08_31_WinCalendar">'Modelo de Calendário 2026'!$N$47</definedName>
    <definedName localSheetId="1" name="Data_2023_06_11_WinCalendar">'Modelo de Calendário 2025'!$J$36</definedName>
    <definedName localSheetId="0" name="Data_2023_06_14_WinCalendar">'Modelo de Calendário 2026'!$M$35</definedName>
    <definedName localSheetId="1" name="Data_2023_04_30_WinCalendar">'Modelo de Calendário 2025'!$J$28</definedName>
    <definedName localSheetId="5" name="Data_2023_06_13_WinCalendar">'Página5'!$L$36</definedName>
    <definedName localSheetId="4" name="Data_2023_03_12_WinCalendar">'Cópia de Modelo de Calendário 2'!$B$25</definedName>
    <definedName localSheetId="4" name="Data_2023_01_20_WinCalendar">'Cópia de Modelo de Calendário 2'!$G$16</definedName>
    <definedName localSheetId="0" name="Data_2023_11_27_WinCalendar">'Modelo de Calendário 2026'!$C$68</definedName>
    <definedName localSheetId="1" name="Data_2023_12_19_WinCalendar">'Modelo de Calendário 2025'!$L$68</definedName>
    <definedName localSheetId="5" name="Data_2023_04_11_WinCalendar">'Página5'!$L$25</definedName>
    <definedName localSheetId="6" name="Data_2023_01_07_WinCalendar">'Cópia de Cópia de Modelo de Cal'!$H$14</definedName>
    <definedName localSheetId="5" name="WinCalendar_Calendar_1">'Página5'!$B$12:$H$20</definedName>
    <definedName localSheetId="4" name="WinCalendar_Calendar_11">'Cópia de Modelo de Calendário 2'!$B$63:$H$70</definedName>
    <definedName localSheetId="5" name="Data_2023_05_01_WinCalendar">'Página5'!$C$34</definedName>
    <definedName localSheetId="5" name="Data_2023_01_21_WinCalendar">'Página5'!$H$16</definedName>
    <definedName localSheetId="1" name="Data_2023_04_13_WinCalendar">'Modelo de Calendário 2025'!$N$25</definedName>
    <definedName localSheetId="0" name="Data_2023_09_26_WinCalendar">'Modelo de Calendário 2026'!$D$57</definedName>
    <definedName localSheetId="5" name="Data_2023_01_09_WinCalendar">'Página5'!$C$15</definedName>
    <definedName localSheetId="6" name="Data_2023_06_08_WinCalendar">'Cópia de Cópia de Modelo de Cal'!$N$35</definedName>
    <definedName localSheetId="1" name="Data_2023_05_13_WinCalendar">'Modelo de Calendário 2025'!$G$35</definedName>
    <definedName localSheetId="5" name="Data_2023_08_23_WinCalendar">'Página5'!$M$47</definedName>
    <definedName localSheetId="1" name="Data_2023_10_06_WinCalendar">'Modelo de Calendário 2025'!$O$54</definedName>
    <definedName localSheetId="1" name="Data_2023_11_25_WinCalendar">'Modelo de Calendário 2025'!$H$68</definedName>
    <definedName localSheetId="1" name="Data_2023_12_29_WinCalendar">#REF!</definedName>
    <definedName localSheetId="0" name="Data_2023_02_07_WinCalendar">'Modelo de Calendário 2026'!$L$15</definedName>
    <definedName localSheetId="5" name="Data_2023_05_12_WinCalendar">'Página5'!$F$35</definedName>
    <definedName localSheetId="4" name="Data_2023_11_18_WinCalendar">'Cópia de Modelo de Calendário 2'!$H$67</definedName>
    <definedName localSheetId="5" name="Data_2023_01_10_WinCalendar">'Página5'!$D$15</definedName>
    <definedName localSheetId="0" name="Data_2023_03_18_WinCalendar">'Modelo de Calendário 2026'!$H$25</definedName>
    <definedName localSheetId="1" name="Data_2023_11_28_WinCalendar">'Modelo de Calendário 2025'!$D$69</definedName>
    <definedName localSheetId="1" name="Data_2023_12_05_WinCalendar">'Modelo de Calendário 2025'!$L$66</definedName>
    <definedName localSheetId="4" name="Data_2023_12_29_WinCalendar">#REF!</definedName>
    <definedName localSheetId="0" name="Data_2023_03_26_WinCalendar">'Modelo de Calendário 2026'!$B$27</definedName>
    <definedName localSheetId="4" name="Data_2023_04_11_WinCalendar">'Cópia de Modelo de Calendário 2'!$L$25</definedName>
    <definedName localSheetId="6" name="Data_2023_04_24_WinCalendar">'Cópia de Cópia de Modelo de Cal'!$K$27</definedName>
    <definedName localSheetId="0" name="Data_2023_12_16_WinCalendar">'Modelo de Calendário 2026'!$P$66</definedName>
    <definedName localSheetId="4" name="Data_2023_08_19_WinCalendar">'Cópia de Modelo de Calendário 2'!$P$46</definedName>
    <definedName localSheetId="6" name="Data_2023_09_06_WinCalendar">'Cópia de Cópia de Modelo de Cal'!$E$55</definedName>
    <definedName localSheetId="5" name="Data_2023_04_18_WinCalendar">'Página5'!$L$26</definedName>
    <definedName localSheetId="5" name="Data_2023_12_14_WinCalendar">'Página5'!$N$67</definedName>
    <definedName localSheetId="4" name="Data_2023_04_01_WinCalendar">'Cópia de Modelo de Calendário 2'!$P$23</definedName>
    <definedName localSheetId="0" name="Data_2023_09_21_WinCalendar">'Modelo de Calendário 2026'!$F$56</definedName>
    <definedName localSheetId="0" name="Data_2023_10_16_WinCalendar">'Modelo de Calendário 2026'!$K$55</definedName>
    <definedName localSheetId="5" name="Data_2023_09_26_WinCalendar">'Página5'!$D$58</definedName>
    <definedName localSheetId="0" name="Data_2023_10_28_WinCalendar">'Modelo de Calendário 2026'!$P$56</definedName>
    <definedName localSheetId="5" name="Data_2023_09_07_WinCalendar">'Página5'!$F$55</definedName>
    <definedName localSheetId="1" name="Data_2023_02_11_WinCalendar">'Modelo de Calendário 2025'!$P$15</definedName>
    <definedName localSheetId="6" name="Data_2023_08_17_WinCalendar">'Cópia de Cópia de Modelo de Cal'!$N$46</definedName>
    <definedName localSheetId="4" name="Data_2023_08_06_WinCalendar">'Cópia de Modelo de Calendário 2'!$J$45</definedName>
    <definedName localSheetId="5" name="Data_2023_01_12_WinCalendar">'Página5'!$F$15</definedName>
    <definedName localSheetId="6" name="Data_2023_07_19_WinCalendar">'Cópia de Cópia de Modelo de Cal'!$E$47</definedName>
    <definedName localSheetId="4" name="Data_2023_01_21_WinCalendar">'Cópia de Modelo de Calendário 2'!$H$16</definedName>
    <definedName localSheetId="5" name="Data_2023_11_01_WinCalendar">'Página5'!$E$65</definedName>
    <definedName localSheetId="5" name="Data_2023_04_26_WinCalendar">'Página5'!$M$27</definedName>
    <definedName localSheetId="4" name="Data_2023_10_20_WinCalendar">'Cópia de Modelo de Calendário 2'!$O$56</definedName>
    <definedName localSheetId="5" name="Data_2023_06_30_WinCalendar">#REF!</definedName>
    <definedName localSheetId="4" name="Data_2023_08_16_WinCalendar">'Cópia de Modelo de Calendário 2'!$M$46</definedName>
    <definedName localSheetId="5" name="Data_2023_07_15_WinCalendar">'Página5'!$H$46</definedName>
    <definedName localSheetId="6" name="Data_2023_04_25_WinCalendar">'Cópia de Cópia de Modelo de Cal'!$L$27</definedName>
    <definedName localSheetId="6" name="Data_2023_07_14_WinCalendar">'Cópia de Cópia de Modelo de Cal'!$G$46</definedName>
    <definedName localSheetId="4" name="Data_2023_06_30_WinCalendar">#REF!</definedName>
    <definedName localSheetId="5" name="Data_2023_12_01_WinCalendar">'Página5'!$O$65</definedName>
    <definedName localSheetId="1" name="Data_2023_02_01_WinCalendar">'Modelo de Calendário 2025'!$M$14</definedName>
    <definedName localSheetId="0" name="Data_2023_03_27_WinCalendar">'Modelo de Calendário 2026'!$C$27</definedName>
    <definedName localSheetId="0" name="Data_2023_04_21_WinCalendar">'Modelo de Calendário 2026'!$O$26</definedName>
    <definedName localSheetId="1" name="Data_2023_12_01_WinCalendar">'Modelo de Calendário 2025'!$O$65</definedName>
    <definedName localSheetId="0" name="Data_2023_06_19_WinCalendar">'Modelo de Calendário 2026'!$K$36</definedName>
    <definedName localSheetId="6" name="Data_2023_05_23_WinCalendar">'Cópia de Cópia de Modelo de Cal'!$C$37</definedName>
    <definedName localSheetId="6" name="Data_2023_05_29_WinCalendar">'Cópia de Cópia de Modelo de Cal'!$B$38</definedName>
    <definedName localSheetId="0" name="Data_2023_08_29_WinCalendar">'Modelo de Calendário 2026'!$L$47</definedName>
    <definedName localSheetId="5" name="Data_2023_01_23_WinCalendar">'Página5'!$C$17</definedName>
    <definedName localSheetId="5" name="Data_2023_07_11_WinCalendar">'Página5'!$D$46</definedName>
    <definedName localSheetId="1" name="Data_2023_11_21_WinCalendar">'Modelo de Calendário 2025'!$D$68</definedName>
    <definedName localSheetId="5" name="Data_2023_12_25_WinCalendar">#REF!</definedName>
    <definedName localSheetId="1" name="Data_2023_04_28_WinCalendar">'Modelo de Calendário 2025'!$O$27</definedName>
    <definedName localSheetId="6" name="Data_2023_10_16_WinCalendar">'Cópia de Cópia de Modelo de Cal'!$K$56</definedName>
    <definedName localSheetId="1" name="WinCalendar_Calendar_2">'Modelo de Calendário 2025'!$J$12:$P$20</definedName>
    <definedName localSheetId="5" name="Data_2023_05_21_WinCalendar">'Página5'!$H$36</definedName>
    <definedName localSheetId="0" name="Data_2023_09_08_WinCalendar">'Modelo de Calendário 2026'!$G$54</definedName>
    <definedName localSheetId="4" name="Data_2023_08_24_WinCalendar">'Cópia de Modelo de Calendário 2'!$N$47</definedName>
    <definedName localSheetId="0" name="Data_2023_09_19_WinCalendar">'Modelo de Calendário 2026'!$D$56</definedName>
    <definedName localSheetId="5" name="Data_2023_03_07_WinCalendar">'Página5'!$D$24</definedName>
    <definedName localSheetId="1" name="Data_2023_11_23_WinCalendar">'Modelo de Calendário 2025'!$F$68</definedName>
    <definedName localSheetId="6" name="Data_2023_07_08_WinCalendar">'Cópia de Cópia de Modelo de Cal'!$H$45</definedName>
    <definedName localSheetId="5" name="Data_2023_07_13_WinCalendar">'Página5'!$F$46</definedName>
    <definedName localSheetId="5" name="WinCalendar_Calendar_10">'Página5'!$J$52:$P$62</definedName>
    <definedName localSheetId="4" name="Data_2023_05_12_WinCalendar">'Cópia de Modelo de Calendário 2'!$F$35</definedName>
    <definedName localSheetId="6" name="Data_2023_03_10_WinCalendar">'Cópia de Cópia de Modelo de Cal'!$G$24</definedName>
    <definedName localSheetId="0" name="Data_2023_02_12_WinCalendar">'Modelo de Calendário 2026'!$J$16</definedName>
    <definedName localSheetId="1" name="Data_2023_03_26_WinCalendar">'Modelo de Calendário 2025'!$B$27</definedName>
    <definedName localSheetId="4" name="Data_2023_03_21_WinCalendar">'Cópia de Modelo de Calendário 2'!$D$26</definedName>
    <definedName localSheetId="6" name="Data_2023_02_26_WinCalendar">'Cópia de Cópia de Modelo de Cal'!$J$18</definedName>
    <definedName localSheetId="0" name="Data_2023_04_04_WinCalendar">'Modelo de Calendário 2026'!$L$24</definedName>
    <definedName localSheetId="1" name="Data_2023_05_29_WinCalendar">'Modelo de Calendário 2025'!$B$38</definedName>
    <definedName localSheetId="1" name="Data_2023_09_01_WinCalendar">'Modelo de Calendário 2025'!$G$54</definedName>
    <definedName localSheetId="0" name="Data_2023_11_17_WinCalendar">'Modelo de Calendário 2026'!$G$66</definedName>
    <definedName localSheetId="1" name="Data_2023_11_22_WinCalendar">'Modelo de Calendário 2025'!$E$68</definedName>
    <definedName localSheetId="0" name="Data_2023_01_30_WinCalendar">'Modelo de Calendário 2026'!$C$18</definedName>
    <definedName localSheetId="4" name="Data_2023_07_23_WinCalendar">'Cópia de Modelo de Calendário 2'!$B$48</definedName>
    <definedName localSheetId="4" name="Data_2023_11_09_WinCalendar">'Cópia de Modelo de Calendário 2'!$F$66</definedName>
    <definedName localSheetId="1" name="Data_2023_12_17_WinCalendar">'Modelo de Calendário 2025'!$J$68</definedName>
    <definedName localSheetId="6" name="Data_2023_12_01_WinCalendar">'Cópia de Cópia de Modelo de Cal'!$O$65</definedName>
    <definedName localSheetId="6" name="Data_2023_04_03_WinCalendar">'Cópia de Cópia de Modelo de Cal'!$K$24</definedName>
    <definedName localSheetId="4" name="Data_2023_08_14_WinCalendar">'Cópia de Modelo de Calendário 2'!$K$46</definedName>
    <definedName localSheetId="6" name="Data_2023_01_15_WinCalendar">'Cópia de Cópia de Modelo de Cal'!$B$16</definedName>
    <definedName localSheetId="4" name="Data_2023_02_15_WinCalendar">'Cópia de Modelo de Calendário 2'!$M$16</definedName>
    <definedName localSheetId="5" name="Data_2023_02_09_WinCalendar">'Página5'!$N$15</definedName>
    <definedName localSheetId="6" name="Data_2023_02_22_WinCalendar">'Cópia de Cópia de Modelo de Cal'!$M$17</definedName>
    <definedName localSheetId="5" name="Data_2023_10_16_WinCalendar">'Página5'!$K$56</definedName>
    <definedName localSheetId="4" name="WinCalendar_Calendar_6">'Cópia de Modelo de Calendário 2'!$J$32:$P$41</definedName>
    <definedName localSheetId="0" name="Data_2023_05_12_WinCalendar">'Modelo de Calendário 2026'!$F$34</definedName>
    <definedName localSheetId="1" name="Data_2023_11_13_WinCalendar">'Modelo de Calendário 2025'!$C$67</definedName>
    <definedName localSheetId="4" name="Data_2023_01_23_WinCalendar">'Cópia de Modelo de Calendário 2'!$C$17</definedName>
    <definedName localSheetId="6" name="Data_2023_08_25_WinCalendar">'Cópia de Cópia de Modelo de Cal'!$O$47</definedName>
    <definedName localSheetId="6" name="Data_2023_02_25_WinCalendar">'Cópia de Cópia de Modelo de Cal'!$P$17</definedName>
    <definedName localSheetId="6" name="Data_2023_06_24_WinCalendar">'Cópia de Cópia de Modelo de Cal'!$P$37</definedName>
    <definedName localSheetId="5" name="Data_2023_07_29_WinCalendar">'Página5'!$H$48</definedName>
    <definedName localSheetId="0" name="Data_2023_08_28_WinCalendar">'Modelo de Calendário 2026'!$K$47</definedName>
    <definedName localSheetId="4" name="Data_2023_03_08_WinCalendar">'Cópia de Modelo de Calendário 2'!$E$24</definedName>
    <definedName localSheetId="1" name="Data_2023_07_09_WinCalendar">'Modelo de Calendário 2025'!$B$46</definedName>
    <definedName localSheetId="5" name="Data_2023_05_09_WinCalendar">'Página5'!$C$35</definedName>
    <definedName localSheetId="6" name="Data_2023_11_27_WinCalendar">'Cópia de Cópia de Modelo de Cal'!$C$69</definedName>
    <definedName localSheetId="0" name="Data_2023_01_07_WinCalendar">'Modelo de Calendário 2026'!$H$14</definedName>
    <definedName localSheetId="6" name="Data_2023_03_27_WinCalendar">'Cópia de Cópia de Modelo de Cal'!$C$27</definedName>
    <definedName localSheetId="6" name="Data_2023_03_29_WinCalendar">'Cópia de Cópia de Modelo de Cal'!$E$27</definedName>
    <definedName localSheetId="0" name="Data_2023_05_02_WinCalendar">'Modelo de Calendário 2026'!$D$33</definedName>
    <definedName localSheetId="0" name="Data_2023_06_25_WinCalendar">#REF!</definedName>
    <definedName localSheetId="0" name="Data_2023_03_14_WinCalendar">'Modelo de Calendário 2026'!$D$25</definedName>
    <definedName localSheetId="1" name="Data_2023_04_14_WinCalendar">'Modelo de Calendário 2025'!$O$25</definedName>
    <definedName localSheetId="0" name="Data_2023_04_10_WinCalendar">'Modelo de Calendário 2026'!$K$25</definedName>
    <definedName localSheetId="4" name="Data_2023_09_07_WinCalendar">'Cópia de Modelo de Calendário 2'!$F$55</definedName>
    <definedName localSheetId="6" name="Data_2023_03_02_WinCalendar">'Cópia de Cópia de Modelo de Cal'!$F$23</definedName>
    <definedName localSheetId="0" name="Data_2023_07_12_WinCalendar">'Modelo de Calendário 2026'!$E$45</definedName>
    <definedName localSheetId="4" name="Data_2023_11_17_WinCalendar">'Cópia de Modelo de Calendário 2'!$G$67</definedName>
    <definedName localSheetId="6" name="Data_2023_02_07_WinCalendar">'Cópia de Cópia de Modelo de Cal'!$L$15</definedName>
    <definedName localSheetId="6" name="Data_2023_11_18_WinCalendar">'Cópia de Cópia de Modelo de Cal'!$H$67</definedName>
    <definedName localSheetId="1" name="Data_2023_04_27_WinCalendar">'Modelo de Calendário 2025'!$N$27</definedName>
    <definedName localSheetId="4" name="Data_2023_12_07_WinCalendar">'Cópia de Modelo de Calendário 2'!$N$66</definedName>
    <definedName localSheetId="5" name="Data_2023_09_09_WinCalendar">'Página5'!$H$55</definedName>
    <definedName localSheetId="4" name="WinCalendar_Calendar_9">'Cópia de Modelo de Calendário 2'!$B$52:$H$62</definedName>
    <definedName localSheetId="5" name="Data_2023_10_01_WinCalendar">'Página5'!$J$54</definedName>
    <definedName localSheetId="4" name="Data_2023_08_31_WinCalendar">'Cópia de Modelo de Calendário 2'!$N$48</definedName>
    <definedName localSheetId="0" name="Data_2023_09_05_WinCalendar">'Modelo de Calendário 2026'!$D$54</definedName>
    <definedName localSheetId="5" name="Data_2023_08_04_WinCalendar">'Página5'!$O$44</definedName>
    <definedName localSheetId="4" name="Data_2023_10_09_WinCalendar">'Cópia de Modelo de Calendário 2'!$K$55</definedName>
    <definedName localSheetId="4" name="Data_2023_04_09_WinCalendar">'Cópia de Modelo de Calendário 2'!$J$25</definedName>
    <definedName localSheetId="1" name="Data_2023_02_09_WinCalendar">'Modelo de Calendário 2025'!$N$15</definedName>
    <definedName localSheetId="1" name="WinCalendar_Calendar_3">'Modelo de Calendário 2025'!$B$21:$H$29</definedName>
    <definedName localSheetId="1" name="Data_2023_07_10_WinCalendar">'Modelo de Calendário 2025'!$C$46</definedName>
    <definedName localSheetId="5" name="Data_2023_02_23_WinCalendar">'Página5'!$N$17</definedName>
    <definedName localSheetId="5" name="Data_2023_03_23_WinCalendar">'Página5'!$F$26</definedName>
    <definedName localSheetId="4" name="Data_2023_01_19_WinCalendar">'Cópia de Modelo de Calendário 2'!$F$16</definedName>
    <definedName localSheetId="4" name="Data_2023_01_09_WinCalendar">'Cópia de Modelo de Calendário 2'!$C$15</definedName>
    <definedName localSheetId="0" name="Data_2023_07_18_WinCalendar">'Modelo de Calendário 2026'!$D$46</definedName>
    <definedName localSheetId="4" name="WinCalendar_Calendar_1">'Cópia de Modelo de Calendário 2'!$B$12:$H$20</definedName>
    <definedName localSheetId="0" name="Data_2023_05_04_WinCalendar">'Modelo de Calendário 2026'!$E$33</definedName>
    <definedName localSheetId="1" name="Data_2023_05_25_WinCalendar">'Modelo de Calendário 2025'!$E$37</definedName>
    <definedName localSheetId="6" name="Data_2023_02_10_WinCalendar">'Cópia de Cópia de Modelo de Cal'!$O$15</definedName>
    <definedName localSheetId="1" name="Data_2023_04_06_WinCalendar">'Modelo de Calendário 2025'!$N$24</definedName>
    <definedName localSheetId="4" name="Data_2023_12_20_WinCalendar">'Cópia de Modelo de Calendário 2'!$M$68</definedName>
    <definedName localSheetId="0" name="Data_2023_04_08_WinCalendar">'Modelo de Calendário 2026'!$P$24</definedName>
    <definedName localSheetId="0" name="Data_2023_07_30_WinCalendar">#REF!</definedName>
    <definedName localSheetId="4" name="Data_2023_06_11_WinCalendar">'Cópia de Modelo de Calendário 2'!$J$36</definedName>
    <definedName localSheetId="5" name="Data_2023_09_30_WinCalendar">'Página5'!$H$58</definedName>
    <definedName localSheetId="1" name="Data_2023_08_06_WinCalendar">'Modelo de Calendário 2025'!$J$45</definedName>
    <definedName localSheetId="4" name="Data_2023_05_09_WinCalendar">'Cópia de Modelo de Calendário 2'!$C$35</definedName>
    <definedName localSheetId="0" name="Data_2023_01_09_WinCalendar">'Modelo de Calendário 2026'!$C$15</definedName>
    <definedName localSheetId="1" name="Data_2023_03_08_WinCalendar">'Modelo de Calendário 2025'!$E$24</definedName>
    <definedName localSheetId="0" name="Data_2023_08_12_WinCalendar">'Modelo de Calendário 2026'!$P$44</definedName>
    <definedName localSheetId="1" name="Data_2023_07_29_WinCalendar">'Modelo de Calendário 2025'!$H$48</definedName>
    <definedName localSheetId="5" name="Data_2023_09_03_WinCalendar">'Página5'!$B$55</definedName>
    <definedName localSheetId="6" name="Data_2023_03_16_WinCalendar">'Cópia de Cópia de Modelo de Cal'!$F$25</definedName>
    <definedName localSheetId="5" name="Data_2023_12_04_WinCalendar">'Página5'!$K$66</definedName>
    <definedName localSheetId="5" name="Data_2023_02_25_WinCalendar">'Página5'!$P$17</definedName>
    <definedName localSheetId="6" name="Data_2023_11_22_WinCalendar">'Cópia de Cópia de Modelo de Cal'!$E$68</definedName>
    <definedName localSheetId="4" name="Data_2023_09_20_WinCalendar">'Cópia de Modelo de Calendário 2'!$E$57</definedName>
    <definedName localSheetId="6" name="Data_2023_06_16_WinCalendar">'Cópia de Cópia de Modelo de Cal'!$O$36</definedName>
    <definedName localSheetId="0" name="Data_2023_12_23_WinCalendar">'Modelo de Calendário 2026'!$P$67</definedName>
    <definedName localSheetId="6" name="Data_2023_06_17_WinCalendar">'Cópia de Cópia de Modelo de Cal'!$P$36</definedName>
    <definedName localSheetId="4" name="Data_2023_07_11_WinCalendar">'Cópia de Modelo de Calendário 2'!$D$46</definedName>
    <definedName localSheetId="4" name="Data_2023_05_08_WinCalendar">'Cópia de Modelo de Calendário 2'!$B$35</definedName>
    <definedName localSheetId="4" name="Data_2023_07_27_WinCalendar">'Cópia de Modelo de Calendário 2'!$F$48</definedName>
    <definedName localSheetId="6" name="Data_2023_06_28_WinCalendar">#REF!</definedName>
    <definedName localSheetId="1" name="Data_2023_02_15_WinCalendar">'Modelo de Calendário 2025'!$M$16</definedName>
    <definedName localSheetId="1" name="Data_2023_07_13_WinCalendar">'Modelo de Calendário 2025'!$F$46</definedName>
    <definedName localSheetId="6" name="Data_2023_03_23_WinCalendar">'Cópia de Cópia de Modelo de Cal'!$F$26</definedName>
    <definedName localSheetId="4" name="Data_2023_07_10_WinCalendar">'Cópia de Modelo de Calendário 2'!$C$46</definedName>
    <definedName localSheetId="4" name="Data_2023_08_27_WinCalendar">'Cópia de Modelo de Calendário 2'!$J$48</definedName>
    <definedName localSheetId="1" name="Data_2023_09_29_WinCalendar">'Modelo de Calendário 2025'!$G$58</definedName>
    <definedName localSheetId="1" name="Data_2023_07_27_WinCalendar">'Modelo de Calendário 2025'!$F$48</definedName>
    <definedName localSheetId="1" name="Data_2023_10_24_WinCalendar">'Modelo de Calendário 2025'!$L$57</definedName>
    <definedName localSheetId="4" name="Data_2023_05_27_WinCalendar">'Cópia de Modelo de Calendário 2'!$G$37</definedName>
    <definedName localSheetId="5" name="Data_2023_08_08_WinCalendar">'Página5'!$L$45</definedName>
    <definedName localSheetId="5" name="Data_2023_04_04_WinCalendar">'Página5'!$L$24</definedName>
    <definedName localSheetId="5" name="WinCalendar_Calendar_9">'Página5'!$B$52:$H$62</definedName>
    <definedName localSheetId="1" name="Data_2023_01_30_WinCalendar">'Modelo de Calendário 2025'!$C$18</definedName>
    <definedName localSheetId="5" name="Data_2023_07_03_WinCalendar">'Página5'!$B$45</definedName>
    <definedName localSheetId="1" name="Data_2023_07_28_WinCalendar">'Modelo de Calendário 2025'!$G$48</definedName>
    <definedName localSheetId="1" name="Data_2023_10_11_WinCalendar">'Modelo de Calendário 2025'!$M$55</definedName>
    <definedName localSheetId="4" name="Data_2023_07_15_WinCalendar">'Cópia de Modelo de Calendário 2'!$H$46</definedName>
    <definedName localSheetId="4" name="Data_2023_09_27_WinCalendar">'Cópia de Modelo de Calendário 2'!$E$58</definedName>
    <definedName localSheetId="0" name="Data_2023_01_02_WinCalendar">'Modelo de Calendário 2026'!$F$14</definedName>
    <definedName localSheetId="4" name="Data_2023_06_19_WinCalendar">'Cópia de Modelo de Calendário 2'!$K$37</definedName>
    <definedName localSheetId="4" name="Data_2023_01_08_WinCalendar">'Cópia de Modelo de Calendário 2'!$B$15</definedName>
    <definedName localSheetId="6" name="WinCalendar_Calendar_3">'Cópia de Cópia de Modelo de Cal'!$B$21:$H$29</definedName>
    <definedName localSheetId="0" name="Data_2023_08_11_WinCalendar">'Modelo de Calendário 2026'!$O$44</definedName>
    <definedName localSheetId="1" name="Data_2023_08_08_WinCalendar">'Modelo de Calendário 2025'!$L$45</definedName>
    <definedName localSheetId="1" name="Data_2023_07_06_WinCalendar">'Modelo de Calendário 2025'!$F$45</definedName>
    <definedName localSheetId="0" name="Data_2023_08_26_WinCalendar">'Modelo de Calendário 2026'!$P$46</definedName>
    <definedName localSheetId="4" name="Data_2023_10_25_WinCalendar">'Cópia de Modelo de Calendário 2'!$M$57</definedName>
    <definedName localSheetId="1" name="Data_2023_11_04_WinCalendar">'Modelo de Calendário 2025'!$H$65</definedName>
    <definedName localSheetId="5" name="Data_2023_12_24_WinCalendar">#REF!</definedName>
    <definedName localSheetId="5" name="Data_2023_07_26_WinCalendar">'Página5'!$E$48</definedName>
    <definedName localSheetId="5" name="Data_2023_02_16_WinCalendar">'Página5'!$N$16</definedName>
    <definedName localSheetId="5" name="WinCalendar_Calendar_6">'Página5'!$J$32:$P$41</definedName>
    <definedName localSheetId="0" name="Data_2023_05_28_WinCalendar">'Modelo de Calendário 2026'!$H$36</definedName>
    <definedName localSheetId="1" name="Data_2023_05_28_WinCalendar">'Modelo de Calendário 2025'!$H$37</definedName>
    <definedName localSheetId="0" name="Data_2023_01_21_WinCalendar">'Modelo de Calendário 2026'!$H$16</definedName>
    <definedName localSheetId="4" name="Data_2023_10_04_WinCalendar">'Cópia de Modelo de Calendário 2'!$M$54</definedName>
    <definedName localSheetId="0" name="Data_2023_01_19_WinCalendar">'Modelo de Calendário 2026'!$F$16</definedName>
    <definedName localSheetId="4" name="Data_2023_07_14_WinCalendar">'Cópia de Modelo de Calendário 2'!$G$46</definedName>
    <definedName localSheetId="5" name="WinCalendar_Calendar_12">'Página5'!$J$63:$P$71</definedName>
    <definedName localSheetId="4" name="Data_2023_12_22_WinCalendar">'Cópia de Modelo de Calendário 2'!$O$68</definedName>
    <definedName localSheetId="1" name="Data_2023_03_25_WinCalendar">'Modelo de Calendário 2025'!$H$26</definedName>
    <definedName localSheetId="4" name="Data_2023_11_10_WinCalendar">'Cópia de Modelo de Calendário 2'!$G$66</definedName>
    <definedName localSheetId="1" name="Data_2023_08_29_WinCalendar">'Modelo de Calendário 2025'!$L$48</definedName>
    <definedName localSheetId="6" name="Data_2023_09_03_WinCalendar">'Cópia de Cópia de Modelo de Cal'!$B$55</definedName>
    <definedName localSheetId="6" name="Data_2023_03_04_WinCalendar">'Cópia de Cópia de Modelo de Cal'!$H$23</definedName>
    <definedName localSheetId="1" name="Data_2023_05_17_WinCalendar">'Modelo de Calendário 2025'!$D$36</definedName>
    <definedName localSheetId="1" name="Data_2023_03_16_WinCalendar">'Modelo de Calendário 2025'!$F$25</definedName>
    <definedName localSheetId="0" name="Data_2023_08_07_WinCalendar">'Modelo de Calendário 2026'!$K$44</definedName>
    <definedName localSheetId="1" name="WinCalendar_Calendar_11">'Modelo de Calendário 2025'!$B$63:$H$70</definedName>
    <definedName localSheetId="6" name="Data_2023_08_21_WinCalendar">'Cópia de Cópia de Modelo de Cal'!$K$47</definedName>
    <definedName localSheetId="5" name="Data_2023_03_29_WinCalendar">'Página5'!$E$27</definedName>
    <definedName localSheetId="6" name="Data_2023_05_08_WinCalendar">'Cópia de Cópia de Modelo de Cal'!$B$35</definedName>
    <definedName localSheetId="1" name="Data_2023_04_26_WinCalendar">'Modelo de Calendário 2025'!$M$27</definedName>
    <definedName localSheetId="5" name="Data_2023_07_28_WinCalendar">'Página5'!$G$48</definedName>
    <definedName localSheetId="0" name="Data_2023_05_25_WinCalendar">'Modelo de Calendário 2026'!$E$36</definedName>
    <definedName localSheetId="4" name="Data_2023_10_18_WinCalendar">'Cópia de Modelo de Calendário 2'!$M$56</definedName>
    <definedName localSheetId="5" name="Data_2023_09_29_WinCalendar">'Página5'!$G$58</definedName>
    <definedName localSheetId="1" name="Data_2023_08_24_WinCalendar">'Modelo de Calendário 2025'!$N$47</definedName>
    <definedName localSheetId="0" name="Data_2023_09_18_WinCalendar">'Modelo de Calendário 2026'!$C$56</definedName>
    <definedName localSheetId="0" name="Data_2023_06_20_WinCalendar">'Modelo de Calendário 2026'!$L$36</definedName>
    <definedName localSheetId="4" name="Data_2023_10_19_WinCalendar">'Cópia de Modelo de Calendário 2'!$N$56</definedName>
    <definedName localSheetId="6" name="Data_2023_11_17_WinCalendar">'Cópia de Cópia de Modelo de Cal'!$G$67</definedName>
    <definedName localSheetId="1" name="Data_2023_08_07_WinCalendar">'Modelo de Calendário 2025'!$K$45</definedName>
    <definedName localSheetId="0" name="Data_2023_05_09_WinCalendar">'Modelo de Calendário 2026'!$C$34</definedName>
    <definedName localSheetId="4" name="Data_2023_07_18_WinCalendar">'Cópia de Modelo de Calendário 2'!$D$47</definedName>
    <definedName localSheetId="1" name="Data_2023_08_18_WinCalendar">'Modelo de Calendário 2025'!$O$46</definedName>
    <definedName localSheetId="6" name="Data_2023_06_02_WinCalendar">'Cópia de Cópia de Modelo de Cal'!$O$34</definedName>
    <definedName localSheetId="0" name="Data_2023_11_04_WinCalendar">'Modelo de Calendário 2026'!$H$64</definedName>
    <definedName localSheetId="1" name="Data_2023_10_30_WinCalendar">'Modelo de Calendário 2025'!$K$58</definedName>
    <definedName localSheetId="1" name="Data_2023_04_16_WinCalendar">'Modelo de Calendário 2025'!$J$26</definedName>
    <definedName localSheetId="0" name="Data_2023_01_08_WinCalendar">'Modelo de Calendário 2026'!$B$15</definedName>
    <definedName localSheetId="6" name="Data_2023_12_20_WinCalendar">'Cópia de Cópia de Modelo de Cal'!$M$68</definedName>
    <definedName localSheetId="6" name="Data_2023_01_29_WinCalendar">'Cópia de Cópia de Modelo de Cal'!$B$18</definedName>
    <definedName localSheetId="5" name="Data_2023_11_07_WinCalendar">'Página5'!$D$66</definedName>
    <definedName localSheetId="6" name="Data_2023_04_07_WinCalendar">'Cópia de Cópia de Modelo de Cal'!$O$24</definedName>
    <definedName localSheetId="5" name="WinCalendar_Calendar_5">'Página5'!$B$32:$H$41</definedName>
    <definedName localSheetId="0" name="Data_2023_10_21_WinCalendar">'Modelo de Calendário 2026'!$P$55</definedName>
    <definedName localSheetId="0" name="WinCalendar_Calendar_11">'Modelo de Calendário 2026'!$B$62:$H$68</definedName>
    <definedName localSheetId="0" name="Data_2023_05_24_WinCalendar">'Modelo de Calendário 2026'!$D$36</definedName>
    <definedName localSheetId="6" name="Data_2023_07_13_WinCalendar">'Cópia de Cópia de Modelo de Cal'!$F$46</definedName>
    <definedName localSheetId="6" name="Data_2023_09_04_WinCalendar">'Cópia de Cópia de Modelo de Cal'!$C$55</definedName>
    <definedName localSheetId="6" name="Data_2023_07_06_WinCalendar">'Cópia de Cópia de Modelo de Cal'!$F$45</definedName>
    <definedName localSheetId="1" name="Data_2023_02_03_WinCalendar">'Modelo de Calendário 2025'!$O$14</definedName>
    <definedName localSheetId="5" name="Data_2023_11_24_WinCalendar">'Página5'!$G$68</definedName>
    <definedName localSheetId="1" name="Data_2023_07_20_WinCalendar">'Modelo de Calendário 2025'!$F$47</definedName>
    <definedName localSheetId="4" name="Data_2023_08_11_WinCalendar">'Cópia de Modelo de Calendário 2'!$O$45</definedName>
    <definedName localSheetId="4" name="WinCalendar_Calendar_4">'Cópia de Modelo de Calendário 2'!$J$21:$P$31</definedName>
    <definedName localSheetId="5" name="Data_2023_09_28_WinCalendar">'Página5'!$F$58</definedName>
    <definedName localSheetId="0" name="Data_2023_04_06_WinCalendar">'Modelo de Calendário 2026'!$N$24</definedName>
    <definedName localSheetId="6" name="Data_2023_07_09_WinCalendar">'Cópia de Cópia de Modelo de Cal'!$B$46</definedName>
    <definedName localSheetId="0" name="Data_2023_03_03_WinCalendar">'Modelo de Calendário 2026'!$G$23</definedName>
    <definedName localSheetId="6" name="Data_2023_10_01_WinCalendar">'Cópia de Cópia de Modelo de Cal'!$J$54</definedName>
    <definedName localSheetId="4" name="Data_2023_10_06_WinCalendar">'Cópia de Modelo de Calendário 2'!$O$54</definedName>
    <definedName localSheetId="0" name="Data_2023_05_01_WinCalendar">'Modelo de Calendário 2026'!$C$33</definedName>
    <definedName localSheetId="6" name="Data_2023_09_20_WinCalendar">'Cópia de Cópia de Modelo de Cal'!$E$57</definedName>
    <definedName localSheetId="5" name="Data_2023_02_26_WinCalendar">'Página5'!$J$18</definedName>
    <definedName localSheetId="6" name="Data_2023_08_15_WinCalendar">'Cópia de Cópia de Modelo de Cal'!$L$46</definedName>
    <definedName localSheetId="1" name="Data_2023_03_09_WinCalendar">'Modelo de Calendário 2025'!$F$24</definedName>
    <definedName localSheetId="0" name="Data_2023_05_05_WinCalendar">'Modelo de Calendário 2026'!$F$33</definedName>
    <definedName localSheetId="1" name="Data_2023_12_09_WinCalendar">'Modelo de Calendário 2025'!$P$66</definedName>
    <definedName localSheetId="1" name="Data_2023_03_03_WinCalendar">'Modelo de Calendário 2025'!$G$23</definedName>
    <definedName localSheetId="1" name="Data_2023_04_09_WinCalendar">'Modelo de Calendário 2025'!$J$25</definedName>
    <definedName localSheetId="6" name="Data_2023_01_31_WinCalendar">'Cópia de Cópia de Modelo de Cal'!$D$18</definedName>
    <definedName localSheetId="1" name="Data_2023_07_31_WinCalendar">#REF!</definedName>
    <definedName localSheetId="5" name="Data_2023_09_19_WinCalendar">'Página5'!$D$57</definedName>
    <definedName localSheetId="4" name="Data_2023_09_25_WinCalendar">'Cópia de Modelo de Calendário 2'!$C$58</definedName>
    <definedName localSheetId="5" name="Data_2023_10_08_WinCalendar">'Página5'!$J$55</definedName>
    <definedName localSheetId="5" name="Data_2023_12_29_WinCalendar">#REF!</definedName>
    <definedName localSheetId="1" name="Data_2023_10_27_WinCalendar">'Modelo de Calendário 2025'!$O$57</definedName>
    <definedName localSheetId="5" name="Data_2023_03_04_WinCalendar">'Página5'!$H$23</definedName>
    <definedName localSheetId="1" name="Data_2023_02_27_WinCalendar">'Modelo de Calendário 2025'!$K$18</definedName>
    <definedName localSheetId="0" name="Data_2023_04_03_WinCalendar">'Modelo de Calendário 2026'!$K$24</definedName>
    <definedName localSheetId="1" name="Data_2023_11_17_WinCalendar">'Modelo de Calendário 2025'!$G$67</definedName>
    <definedName localSheetId="4" name="Data_2023_02_07_WinCalendar">'Cópia de Modelo de Calendário 2'!$L$15</definedName>
    <definedName localSheetId="4" name="Data_2023_04_23_WinCalendar">'Cópia de Modelo de Calendário 2'!$J$27</definedName>
    <definedName localSheetId="0" name="Data_2023_04_26_WinCalendar">'Modelo de Calendário 2026'!$M$27</definedName>
    <definedName localSheetId="1" name="Data_2023_12_10_WinCalendar">'Modelo de Calendário 2025'!$J$67</definedName>
    <definedName localSheetId="1" name="Data_2023_12_11_WinCalendar">'Modelo de Calendário 2025'!$K$67</definedName>
    <definedName localSheetId="5" name="Data_2023_12_02_WinCalendar">'Página5'!$P$65</definedName>
    <definedName localSheetId="4" name="Data_2023_09_26_WinCalendar">'Cópia de Modelo de Calendário 2'!$D$58</definedName>
    <definedName localSheetId="4" name="Data_2023_05_07_WinCalendar">'Cópia de Modelo de Calendário 2'!$H$34</definedName>
    <definedName localSheetId="5" name="Data_2023_12_27_WinCalendar">#REF!</definedName>
    <definedName localSheetId="1" name="Data_2023_04_11_WinCalendar">'Modelo de Calendário 2025'!$L$25</definedName>
    <definedName localSheetId="6" name="Data_2023_02_20_WinCalendar">'Cópia de Cópia de Modelo de Cal'!$K$17</definedName>
    <definedName localSheetId="1" name="Data_2023_06_07_WinCalendar">'Modelo de Calendário 2025'!$M$35</definedName>
    <definedName localSheetId="1" name="Data_2023_05_05_WinCalendar">'Modelo de Calendário 2025'!$F$34</definedName>
    <definedName localSheetId="1" name="Data_2023_08_25_WinCalendar">'Modelo de Calendário 2025'!$O$47</definedName>
    <definedName localSheetId="6" name="Data_2023_01_30_WinCalendar">'Cópia de Cópia de Modelo de Cal'!$C$18</definedName>
    <definedName localSheetId="1" name="Data_2023_03_23_WinCalendar">'Modelo de Calendário 2025'!$F$26</definedName>
    <definedName localSheetId="1" name="Data_2023_03_21_WinCalendar">'Modelo de Calendário 2025'!$D$26</definedName>
    <definedName localSheetId="5" name="Data_2023_08_10_WinCalendar">'Página5'!$N$45</definedName>
    <definedName localSheetId="6" name="Data_2023_11_06_WinCalendar">'Cópia de Cópia de Modelo de Cal'!$C$66</definedName>
    <definedName localSheetId="1" name="Data_2023_11_02_WinCalendar">'Modelo de Calendário 2025'!$F$65</definedName>
    <definedName localSheetId="6" name="Data_2023_04_19_WinCalendar">'Cópia de Cópia de Modelo de Cal'!$M$26</definedName>
    <definedName localSheetId="4" name="Data_2023_04_06_WinCalendar">'Cópia de Modelo de Calendário 2'!$N$24</definedName>
    <definedName localSheetId="4" name="Data_2023_05_31_WinCalendar">'Cópia de Modelo de Calendário 2'!$D$38</definedName>
    <definedName localSheetId="4" name="Data_2023_11_15_WinCalendar">'Cópia de Modelo de Calendário 2'!$E$67</definedName>
    <definedName localSheetId="5" name="Data_2023_03_09_WinCalendar">'Página5'!$F$24</definedName>
    <definedName localSheetId="0" name="Data_2023_04_14_WinCalendar">'Modelo de Calendário 2026'!$O$25</definedName>
    <definedName localSheetId="6" name="Data_2023_10_24_WinCalendar">'Cópia de Cópia de Modelo de Cal'!$L$57</definedName>
    <definedName localSheetId="6" name="Data_2023_07_22_WinCalendar">'Cópia de Cópia de Modelo de Cal'!$H$47</definedName>
    <definedName localSheetId="4" name="Data_2023_06_12_WinCalendar">'Cópia de Modelo de Calendário 2'!$K$36</definedName>
    <definedName localSheetId="0" name="Data_2023_06_29_WinCalendar">#REF!</definedName>
    <definedName localSheetId="1" name="Data_2023_09_17_WinCalendar">'Modelo de Calendário 2025'!$B$57</definedName>
    <definedName localSheetId="1" name="Data_2023_06_12_WinCalendar">'Modelo de Calendário 2025'!$K$36</definedName>
    <definedName localSheetId="4" name="Data_2023_10_24_WinCalendar">'Cópia de Modelo de Calendário 2'!$L$57</definedName>
    <definedName localSheetId="6" name="Data_2023_08_11_WinCalendar">'Cópia de Cópia de Modelo de Cal'!$O$45</definedName>
    <definedName localSheetId="0" name="Data_2023_12_18_WinCalendar">'Modelo de Calendário 2026'!$K$67</definedName>
    <definedName localSheetId="0" name="Data_2023_04_20_WinCalendar">'Modelo de Calendário 2026'!$N$26</definedName>
    <definedName localSheetId="1" name="Data_2023_10_10_WinCalendar">'Modelo de Calendário 2025'!$L$55</definedName>
    <definedName localSheetId="0" name="Data_2023_12_19_WinCalendar">'Modelo de Calendário 2026'!$L$67</definedName>
    <definedName localSheetId="1" name="Data_2023_04_19_WinCalendar">'Modelo de Calendário 2025'!$M$26</definedName>
    <definedName localSheetId="5" name="Data_2023_07_25_WinCalendar">'Página5'!$D$48</definedName>
    <definedName localSheetId="5" name="Data_2023_09_05_WinCalendar">'Página5'!$D$55</definedName>
    <definedName localSheetId="1" name="Data_2023_02_05_WinCalendar">'Modelo de Calendário 2025'!$J$15</definedName>
    <definedName localSheetId="6" name="Data_2023_09_14_WinCalendar">'Cópia de Cópia de Modelo de Cal'!$F$56</definedName>
    <definedName localSheetId="5" name="Data_2023_05_20_WinCalendar">'Página5'!$G$36</definedName>
    <definedName localSheetId="5" name="Data_2023_03_24_WinCalendar">'Página5'!$G$26</definedName>
    <definedName localSheetId="6" name="Data_2023_04_20_WinCalendar">'Cópia de Cópia de Modelo de Cal'!$N$26</definedName>
    <definedName localSheetId="5" name="Data_2023_07_27_WinCalendar">'Página5'!$F$48</definedName>
    <definedName localSheetId="5" name="Data_2023_07_05_WinCalendar">'Página5'!$E$45</definedName>
    <definedName localSheetId="5" name="Data_2023_04_03_WinCalendar">'Página5'!$K$24</definedName>
    <definedName localSheetId="6" name="Data_2023_08_23_WinCalendar">'Cópia de Cópia de Modelo de Cal'!$M$47</definedName>
    <definedName localSheetId="4" name="Data_2023_09_10_WinCalendar">'Cópia de Modelo de Calendário 2'!$B$56</definedName>
    <definedName localSheetId="6" name="Data_2023_02_24_WinCalendar">'Cópia de Cópia de Modelo de Cal'!$O$17</definedName>
    <definedName localSheetId="1" name="Data_2023_01_12_WinCalendar">'Modelo de Calendário 2025'!$F$15</definedName>
    <definedName localSheetId="4" name="WinCalendar_Calendar_10">'Cópia de Modelo de Calendário 2'!$J$52:$P$62</definedName>
    <definedName localSheetId="5" name="Data_2023_08_06_WinCalendar">'Página5'!$J$45</definedName>
    <definedName localSheetId="0" name="Data_2023_05_30_WinCalendar">'Modelo de Calendário 2026'!$C$37</definedName>
    <definedName localSheetId="6" name="Data_2023_09_08_WinCalendar">'Cópia de Cópia de Modelo de Cal'!$G$55</definedName>
    <definedName localSheetId="1" name="Data_2023_09_14_WinCalendar">'Modelo de Calendário 2025'!$F$56</definedName>
    <definedName localSheetId="4" name="Data_2023_08_29_WinCalendar">'Cópia de Modelo de Calendário 2'!$L$48</definedName>
    <definedName localSheetId="6" name="Data_2023_05_25_WinCalendar">'Cópia de Cópia de Modelo de Cal'!$E$37</definedName>
    <definedName localSheetId="0" name="Data_2023_12_21_WinCalendar">'Modelo de Calendário 2026'!$N$67</definedName>
    <definedName localSheetId="5" name="Data_2023_07_16_WinCalendar">'Página5'!$B$47</definedName>
    <definedName localSheetId="6" name="Data_2023_04_13_WinCalendar">'Cópia de Cópia de Modelo de Cal'!$N$25</definedName>
    <definedName localSheetId="5" name="WinCalendar_Calendar_7">'Página5'!$B$42:$H$51</definedName>
    <definedName localSheetId="6" name="Data_2023_02_17_WinCalendar">'Cópia de Cópia de Modelo de Cal'!$O$16</definedName>
    <definedName localSheetId="1" name="Data_2023_01_31_WinCalendar">'Modelo de Calendário 2025'!$D$18</definedName>
    <definedName localSheetId="6" name="Data_2023_02_23_WinCalendar">'Cópia de Cópia de Modelo de Cal'!$N$17</definedName>
    <definedName localSheetId="1" name="Data_2023_11_16_WinCalendar">'Modelo de Calendário 2025'!$F$67</definedName>
    <definedName localSheetId="0" name="Data_2023_12_22_WinCalendar">'Modelo de Calendário 2026'!$O$67</definedName>
    <definedName localSheetId="1" name="Data_2023_05_20_WinCalendar">'Modelo de Calendário 2025'!$G$36</definedName>
    <definedName localSheetId="0" name="Data_2023_03_09_WinCalendar">'Modelo de Calendário 2026'!$F$24</definedName>
    <definedName localSheetId="1" name="Data_2023_11_11_WinCalendar">'Modelo de Calendário 2025'!$H$66</definedName>
    <definedName localSheetId="1" name="Data_2023_12_04_WinCalendar">'Modelo de Calendário 2025'!$K$66</definedName>
    <definedName localSheetId="4" name="Data_2023_04_26_WinCalendar">'Cópia de Modelo de Calendário 2'!$M$27</definedName>
    <definedName localSheetId="5" name="Data_2023_06_07_WinCalendar">'Página5'!$M$35</definedName>
    <definedName localSheetId="5" name="Data_2023_07_17_WinCalendar">'Página5'!$C$47</definedName>
    <definedName localSheetId="4" name="WinCalendar_Calendar_2">'Cópia de Modelo de Calendário 2'!$J$12:$P$20</definedName>
    <definedName localSheetId="5" name="Data_2023_08_16_WinCalendar">'Página5'!$M$46</definedName>
    <definedName localSheetId="1" name="Data_2023_01_27_WinCalendar">'Modelo de Calendário 2025'!$G$17</definedName>
    <definedName localSheetId="5" name="Data_2023_06_23_WinCalendar">'Página5'!$O$37</definedName>
    <definedName localSheetId="4" name="Data_2023_09_04_WinCalendar">'Cópia de Modelo de Calendário 2'!$C$55</definedName>
    <definedName localSheetId="5" name="Data_2023_04_06_WinCalendar">'Página5'!$N$24</definedName>
    <definedName localSheetId="0" name="Data_2023_06_13_WinCalendar">'Modelo de Calendário 2026'!$L$35</definedName>
    <definedName localSheetId="6" name="Data_2023_05_04_WinCalendar">'Cópia de Cópia de Modelo de Cal'!$E$34</definedName>
    <definedName localSheetId="1" name="Data_2023_10_20_WinCalendar">'Modelo de Calendário 2025'!$O$56</definedName>
    <definedName localSheetId="5" name="Data_2023_03_14_WinCalendar">'Página5'!$D$25</definedName>
    <definedName localSheetId="5" name="Data_2023_12_07_WinCalendar">'Página5'!$N$66</definedName>
    <definedName localSheetId="5" name="Data_2023_09_17_WinCalendar">'Página5'!$B$57</definedName>
    <definedName localSheetId="4" name="Data_2023_01_17_WinCalendar">'Cópia de Modelo de Calendário 2'!$D$16</definedName>
    <definedName localSheetId="4" name="Data_2023_05_23_WinCalendar">'Cópia de Modelo de Calendário 2'!$C$37</definedName>
    <definedName localSheetId="5" name="Data_2023_08_20_WinCalendar">'Página5'!$J$47</definedName>
    <definedName localSheetId="6" name="Data_2023_01_19_WinCalendar">'Cópia de Cópia de Modelo de Cal'!$F$16</definedName>
    <definedName localSheetId="4" name="Data_2023_03_29_WinCalendar">'Cópia de Modelo de Calendário 2'!$E$27</definedName>
    <definedName localSheetId="6" name="Data_2023_07_24_WinCalendar">'Cópia de Cópia de Modelo de Cal'!$C$48</definedName>
    <definedName localSheetId="1" name="WinCalendar_Calendar_5">'Modelo de Calendário 2025'!$B$32:$H$41</definedName>
    <definedName localSheetId="4" name="Data_2023_02_06_WinCalendar">'Cópia de Modelo de Calendário 2'!$K$15</definedName>
    <definedName localSheetId="5" name="Data_2023_05_18_WinCalendar">'Página5'!$E$36</definedName>
    <definedName localSheetId="0" name="Data_2023_03_30_WinCalendar">'Modelo de Calendário 2026'!$F$27</definedName>
    <definedName localSheetId="4" name="Data_2023_09_30_WinCalendar">'Cópia de Modelo de Calendário 2'!$H$58</definedName>
    <definedName localSheetId="0" name="Data_2023_03_12_WinCalendar">'Modelo de Calendário 2026'!$B$25</definedName>
    <definedName localSheetId="4" name="Data_2023_07_24_WinCalendar">'Cópia de Modelo de Calendário 2'!$C$48</definedName>
    <definedName localSheetId="4" name="Data_2023_01_26_WinCalendar">'Cópia de Modelo de Calendário 2'!$F$17</definedName>
    <definedName localSheetId="5" name="Data_2023_06_10_WinCalendar">'Página5'!$P$35</definedName>
    <definedName localSheetId="1" name="Data_2023_10_01_WinCalendar">'Modelo de Calendário 2025'!$J$54</definedName>
    <definedName localSheetId="4" name="Data_2023_10_07_WinCalendar">'Cópia de Modelo de Calendário 2'!$P$54</definedName>
    <definedName localSheetId="6" name="Data_2023_10_09_WinCalendar">'Cópia de Cópia de Modelo de Cal'!$K$55</definedName>
    <definedName localSheetId="6" name="Data_2023_03_13_WinCalendar">'Cópia de Cópia de Modelo de Cal'!$C$25</definedName>
    <definedName localSheetId="1" name="Data_2023_08_26_WinCalendar">'Modelo de Calendário 2025'!$P$47</definedName>
    <definedName localSheetId="4" name="Data_2023_02_17_WinCalendar">'Cópia de Modelo de Calendário 2'!$O$16</definedName>
    <definedName localSheetId="5" name="Data_2023_06_16_WinCalendar">'Página5'!$O$36</definedName>
    <definedName localSheetId="5" name="Data_2023_07_08_WinCalendar">'Página5'!$H$45</definedName>
    <definedName localSheetId="4" name="Data_2023_05_26_WinCalendar">'Cópia de Modelo de Calendário 2'!$F$37</definedName>
    <definedName localSheetId="1" name="Data_2023_07_15_WinCalendar">'Modelo de Calendário 2025'!$H$46</definedName>
    <definedName localSheetId="1" name="Data_2023_10_09_WinCalendar">'Modelo de Calendário 2025'!$K$55</definedName>
    <definedName localSheetId="6" name="WinCalendar_Calendar_10">'Cópia de Cópia de Modelo de Cal'!$J$52:$P$62</definedName>
    <definedName localSheetId="1" name="Data_2023_03_29_WinCalendar">'Modelo de Calendário 2025'!$E$27</definedName>
    <definedName localSheetId="5" name="Data_2023_06_24_WinCalendar">'Página5'!$P$37</definedName>
    <definedName localSheetId="0" name="Data_2023_07_20_WinCalendar">'Modelo de Calendário 2026'!$F$46</definedName>
    <definedName localSheetId="5" name="Data_2023_11_20_WinCalendar">'Página5'!$C$68</definedName>
    <definedName localSheetId="0" name="Data_2023_07_14_WinCalendar">'Modelo de Calendário 2026'!$G$45</definedName>
    <definedName localSheetId="6" name="Data_2023_04_23_WinCalendar">'Cópia de Cópia de Modelo de Cal'!$J$27</definedName>
    <definedName localSheetId="0" name="Data_2023_12_20_WinCalendar">'Modelo de Calendário 2026'!$M$67</definedName>
    <definedName localSheetId="0" name="Data_2023_12_06_WinCalendar">'Modelo de Calendário 2026'!$M$65</definedName>
    <definedName localSheetId="5" name="Data_2023_01_25_WinCalendar">'Página5'!$E$17</definedName>
    <definedName localSheetId="1" name="Data_2023_08_23_WinCalendar">'Modelo de Calendário 2025'!$M$47</definedName>
    <definedName localSheetId="4" name="Data_2023_06_28_WinCalendar">#REF!</definedName>
    <definedName localSheetId="0" name="Data_2023_04_11_WinCalendar">'Modelo de Calendário 2026'!$L$25</definedName>
    <definedName localSheetId="6" name="Data_2023_08_03_WinCalendar">#REF!</definedName>
    <definedName localSheetId="5" name="Data_2023_03_01_WinCalendar">'Página5'!$E$23</definedName>
    <definedName localSheetId="0" name="Data_2023_08_14_WinCalendar">'Modelo de Calendário 2026'!$K$45</definedName>
    <definedName localSheetId="4" name="Data_2023_12_10_WinCalendar">'Cópia de Modelo de Calendário 2'!$J$67</definedName>
    <definedName localSheetId="1" name="Data_2023_04_22_WinCalendar">'Modelo de Calendário 2025'!$P$26</definedName>
    <definedName localSheetId="5" name="Data_2023_09_01_WinCalendar">'Página5'!$G$54</definedName>
    <definedName localSheetId="6" name="Data_2023_05_24_WinCalendar">'Cópia de Cópia de Modelo de Cal'!$D$37</definedName>
    <definedName localSheetId="1" name="WinCalendar_Calendar_1">'Modelo de Calendário 2025'!$B$12:$H$20</definedName>
    <definedName localSheetId="6" name="Data_2023_11_02_WinCalendar">'Cópia de Cópia de Modelo de Cal'!$F$65</definedName>
    <definedName localSheetId="1" name="Data_2023_10_23_WinCalendar">'Modelo de Calendário 2025'!$K$57</definedName>
    <definedName localSheetId="6" name="Data_2023_07_28_WinCalendar">'Cópia de Cópia de Modelo de Cal'!$G$48</definedName>
    <definedName localSheetId="0" name="Data_2023_07_31_WinCalendar">#REF!</definedName>
    <definedName localSheetId="1" name="Data_2023_10_21_WinCalendar">'Modelo de Calendário 2025'!$P$56</definedName>
    <definedName localSheetId="0" name="Data_2023_04_07_WinCalendar">'Modelo de Calendário 2026'!$O$24</definedName>
    <definedName localSheetId="5" name="Data_2023_06_05_WinCalendar">'Página5'!$K$35</definedName>
    <definedName localSheetId="5" name="Data_2023_10_14_WinCalendar">'Página5'!$P$55</definedName>
    <definedName localSheetId="6" name="Data_2023_09_10_WinCalendar">'Cópia de Cópia de Modelo de Cal'!$B$56</definedName>
    <definedName localSheetId="1" name="Data_2023_10_04_WinCalendar">'Modelo de Calendário 2025'!$M$54</definedName>
    <definedName localSheetId="6" name="Data_2023_01_24_WinCalendar">'Cópia de Cópia de Modelo de Cal'!$D$17</definedName>
    <definedName localSheetId="6" name="Data_2023_03_18_WinCalendar">'Cópia de Cópia de Modelo de Cal'!$H$25</definedName>
    <definedName localSheetId="5" name="Data_2023_12_13_WinCalendar">'Página5'!$M$67</definedName>
    <definedName localSheetId="4" name="Data_2023_07_03_WinCalendar">'Cópia de Modelo de Calendário 2'!$B$45</definedName>
    <definedName localSheetId="5" name="Data_2023_01_31_WinCalendar">'Página5'!$D$18</definedName>
    <definedName localSheetId="0" name="Data_2023_01_26_WinCalendar">'Modelo de Calendário 2026'!$F$17</definedName>
    <definedName localSheetId="0" name="Data_2023_11_23_WinCalendar">'Modelo de Calendário 2026'!$F$67</definedName>
    <definedName localSheetId="4" name="Data_2023_02_11_WinCalendar">'Cópia de Modelo de Calendário 2'!$P$15</definedName>
    <definedName localSheetId="4" name="Data_2023_02_27_WinCalendar">'Cópia de Modelo de Calendário 2'!$K$18</definedName>
    <definedName localSheetId="5" name="WinCalendar_Calendar_4">'Página5'!$J$21:$P$31</definedName>
    <definedName localSheetId="4" name="Data_2023_01_15_WinCalendar">'Cópia de Modelo de Calendário 2'!$B$16</definedName>
    <definedName localSheetId="6" name="Data_2023_09_24_WinCalendar">'Cópia de Cópia de Modelo de Cal'!$B$58</definedName>
    <definedName localSheetId="6" name="Data_2023_05_15_WinCalendar">'Cópia de Cópia de Modelo de Cal'!$B$36</definedName>
    <definedName localSheetId="1" name="Data_2023_01_01_WinCalendar">'Modelo de Calendário 2025'!$B$14</definedName>
    <definedName localSheetId="4" name="Data_2023_09_19_WinCalendar">'Cópia de Modelo de Calendário 2'!$D$57</definedName>
    <definedName localSheetId="5" name="Data_2023_11_19_WinCalendar">'Página5'!$B$68</definedName>
    <definedName localSheetId="6" name="Data_2023_08_30_WinCalendar">'Cópia de Cópia de Modelo de Cal'!$M$48</definedName>
    <definedName localSheetId="1" name="Data_2023_09_21_WinCalendar">'Modelo de Calendário 2025'!$F$57</definedName>
    <definedName localSheetId="0" name="Data_2023_11_06_WinCalendar">'Modelo de Calendário 2026'!$C$65</definedName>
    <definedName localSheetId="1" name="Data_2023_08_20_WinCalendar">'Modelo de Calendário 2025'!$J$47</definedName>
    <definedName localSheetId="6" name="Data_2023_06_06_WinCalendar">'Cópia de Cópia de Modelo de Cal'!$L$35</definedName>
    <definedName localSheetId="4" name="Data_2023_04_25_WinCalendar">'Cópia de Modelo de Calendário 2'!$L$27</definedName>
    <definedName localSheetId="6" name="Data_2023_01_10_WinCalendar">'Cópia de Cópia de Modelo de Cal'!$D$15</definedName>
    <definedName localSheetId="0" name="Data_2023_03_17_WinCalendar">'Modelo de Calendário 2026'!$G$25</definedName>
    <definedName localSheetId="4" name="Data_2023_08_02_WinCalendar">'Cópia de Modelo de Calendário 2'!$M$44</definedName>
    <definedName localSheetId="0" name="Data_2023_11_28_WinCalendar">'Modelo de Calendário 2026'!$D$68</definedName>
    <definedName localSheetId="6" name="Data_2023_12_12_WinCalendar">'Cópia de Cópia de Modelo de Cal'!$L$67</definedName>
    <definedName localSheetId="0" name="Data_2023_06_08_WinCalendar">'Modelo de Calendário 2026'!$N$34</definedName>
    <definedName localSheetId="0" name="Data_2023_05_19_WinCalendar">'Modelo de Calendário 2026'!$F$35</definedName>
    <definedName localSheetId="1" name="Data_2023_03_02_WinCalendar">'Modelo de Calendário 2025'!$F$23</definedName>
    <definedName localSheetId="4" name="Data_2023_01_14_WinCalendar">'Cópia de Modelo de Calendário 2'!$H$15</definedName>
    <definedName localSheetId="5" name="Data_2023_12_28_WinCalendar">#REF!</definedName>
    <definedName localSheetId="1" name="Data_2023_07_24_WinCalendar">'Modelo de Calendário 2025'!$C$48</definedName>
    <definedName localSheetId="1" name="Data_2023_04_25_WinCalendar">'Modelo de Calendário 2025'!$L$27</definedName>
    <definedName localSheetId="1" name="Data_2023_06_20_WinCalendar">'Modelo de Calendário 2025'!$L$37</definedName>
    <definedName localSheetId="6" name="Data_2023_02_11_WinCalendar">'Cópia de Cópia de Modelo de Cal'!$P$15</definedName>
    <definedName localSheetId="0" name="Data_2023_11_25_WinCalendar">'Modelo de Calendário 2026'!$H$67</definedName>
    <definedName localSheetId="1" name="Data_2023_06_15_WinCalendar">'Modelo de Calendário 2025'!$N$36</definedName>
    <definedName localSheetId="1" name="Data_2023_05_02_WinCalendar">'Modelo de Calendário 2025'!$D$34</definedName>
    <definedName localSheetId="5" name="Data_2023_11_06_WinCalendar">'Página5'!$C$66</definedName>
    <definedName localSheetId="1" name="Data_2023_10_28_WinCalendar">'Modelo de Calendário 2025'!$P$57</definedName>
    <definedName localSheetId="5" name="Data_2023_09_13_WinCalendar">'Página5'!$E$56</definedName>
    <definedName localSheetId="0" name="Data_2023_11_18_WinCalendar">'Modelo de Calendário 2026'!$H$66</definedName>
    <definedName localSheetId="4" name="Data_2023_11_19_WinCalendar">'Cópia de Modelo de Calendário 2'!$B$68</definedName>
    <definedName localSheetId="4" name="Data_2023_12_04_WinCalendar">'Cópia de Modelo de Calendário 2'!$K$66</definedName>
    <definedName localSheetId="0" name="Data_2023_12_24_WinCalendar">#REF!</definedName>
    <definedName localSheetId="6" name="Data_2023_08_07_WinCalendar">'Cópia de Cópia de Modelo de Cal'!$K$45</definedName>
    <definedName localSheetId="6" name="Data_2023_10_06_WinCalendar">'Cópia de Cópia de Modelo de Cal'!$O$54</definedName>
    <definedName localSheetId="6" name="Data_2023_06_15_WinCalendar">'Cópia de Cópia de Modelo de Cal'!$N$36</definedName>
    <definedName localSheetId="5" name="Data_2023_03_11_WinCalendar">'Página5'!$H$24</definedName>
    <definedName localSheetId="0" name="Data_2023_10_30_WinCalendar">'Modelo de Calendário 2026'!$K$57</definedName>
    <definedName localSheetId="6" name="Data_2023_07_18_WinCalendar">'Cópia de Cópia de Modelo de Cal'!$D$47</definedName>
    <definedName localSheetId="6" name="Data_2023_12_18_WinCalendar">'Cópia de Cópia de Modelo de Cal'!$K$68</definedName>
    <definedName localSheetId="4" name="Data_2023_12_14_WinCalendar">'Cópia de Modelo de Calendário 2'!$N$67</definedName>
    <definedName localSheetId="1" name="Data_2023_04_18_WinCalendar">'Modelo de Calendário 2025'!$L$26</definedName>
    <definedName localSheetId="1" name="Data_2023_09_05_WinCalendar">'Modelo de Calendário 2025'!$D$55</definedName>
    <definedName localSheetId="4" name="Data_2023_02_12_WinCalendar">'Cópia de Modelo de Calendário 2'!$J$16</definedName>
    <definedName localSheetId="6" name="Data_2023_01_01_WinCalendar">'Cópia de Cópia de Modelo de Cal'!$B$14</definedName>
    <definedName localSheetId="1" name="Data_2023_05_01_WinCalendar">'Modelo de Calendário 2025'!$C$34</definedName>
    <definedName localSheetId="4" name="Data_2023_11_07_WinCalendar">'Cópia de Modelo de Calendário 2'!$D$66</definedName>
    <definedName localSheetId="5" name="WinCalendar_Calendar_8">'Página5'!$J$42:$P$48</definedName>
    <definedName localSheetId="5" name="Data_2023_02_27_WinCalendar">'Página5'!$K$18</definedName>
    <definedName localSheetId="5" name="Data_2023_10_06_WinCalendar">'Página5'!$O$54</definedName>
    <definedName localSheetId="0" name="Data_2023_09_17_WinCalendar">'Modelo de Calendário 2026'!$B$56</definedName>
    <definedName localSheetId="6" name="Data_2023_05_27_WinCalendar">'Cópia de Cópia de Modelo de Cal'!$G$37</definedName>
    <definedName localSheetId="1" name="Data_2023_02_19_WinCalendar">'Modelo de Calendário 2025'!$J$17</definedName>
    <definedName localSheetId="4" name="Data_2023_06_16_WinCalendar">'Cópia de Modelo de Calendário 2'!$O$36</definedName>
    <definedName localSheetId="4" name="Data_2023_04_15_WinCalendar">'Cópia de Modelo de Calendário 2'!$P$25</definedName>
    <definedName localSheetId="1" name="Data_2023_06_09_WinCalendar">'Modelo de Calendário 2025'!$O$35</definedName>
    <definedName localSheetId="1" name="Data_2023_05_23_WinCalendar">'Modelo de Calendário 2025'!$C$37</definedName>
    <definedName localSheetId="6" name="Data_2023_06_22_WinCalendar">'Cópia de Cópia de Modelo de Cal'!$N$37</definedName>
    <definedName localSheetId="5" name="Data_2023_08_17_WinCalendar">'Página5'!$N$46</definedName>
    <definedName localSheetId="1" name="Data_2023_02_20_WinCalendar">'Modelo de Calendário 2025'!$K$17</definedName>
    <definedName localSheetId="0" name="Data_2023_06_21_WinCalendar">'Modelo de Calendário 2026'!$M$36</definedName>
    <definedName localSheetId="1" name="Data_2023_09_06_WinCalendar">'Modelo de Calendário 2025'!$E$55</definedName>
    <definedName localSheetId="4" name="Data_2023_09_23_WinCalendar">'Cópia de Modelo de Calendário 2'!$H$57</definedName>
    <definedName localSheetId="6" name="Data_2023_06_25_WinCalendar">#REF!</definedName>
    <definedName localSheetId="6" name="Data_2023_04_15_WinCalendar">'Cópia de Cópia de Modelo de Cal'!$P$25</definedName>
    <definedName localSheetId="4" name="Data_2023_12_25_WinCalendar">#REF!</definedName>
    <definedName localSheetId="0" name="Data_2023_03_21_WinCalendar">'Modelo de Calendário 2026'!$D$26</definedName>
    <definedName localSheetId="6" name="Data_2023_10_30_WinCalendar">'Cópia de Cópia de Modelo de Cal'!$K$58</definedName>
    <definedName localSheetId="4" name="Data_2023_02_25_WinCalendar">'Cópia de Modelo de Calendário 2'!$P$17</definedName>
    <definedName localSheetId="0" name="Data_2023_02_06_WinCalendar">'Modelo de Calendário 2026'!$K$15</definedName>
    <definedName localSheetId="0" name="Data_2023_12_03_WinCalendar">'Modelo de Calendário 2026'!$J$65</definedName>
    <definedName localSheetId="5" name="Data_2023_07_20_WinCalendar">'Página5'!$F$47</definedName>
    <definedName localSheetId="4" name="Data_2023_02_02_WinCalendar">'Cópia de Modelo de Calendário 2'!$N$14</definedName>
    <definedName localSheetId="0" name="Data_2023_08_05_WinCalendar">'Modelo de Calendário 2026'!$P$43</definedName>
    <definedName localSheetId="1" name="Data_2023_09_16_WinCalendar">'Modelo de Calendário 2025'!$H$56</definedName>
    <definedName localSheetId="0" name="Data_2023_05_08_WinCalendar">'Modelo de Calendário 2026'!$B$34</definedName>
    <definedName localSheetId="4" name="Data_2023_04_22_WinCalendar">'Cópia de Modelo de Calendário 2'!$P$26</definedName>
    <definedName localSheetId="4" name="Data_2023_05_29_WinCalendar">'Cópia de Modelo de Calendário 2'!$B$38</definedName>
    <definedName localSheetId="4" name="Data_2023_07_07_WinCalendar">'Cópia de Modelo de Calendário 2'!$G$45</definedName>
    <definedName localSheetId="4" name="Data_2023_09_06_WinCalendar">'Cópia de Modelo de Calendário 2'!$E$55</definedName>
    <definedName localSheetId="1" name="Data_2023_08_15_WinCalendar">'Modelo de Calendário 2025'!$L$46</definedName>
    <definedName localSheetId="1" name="Data_2023_06_01_WinCalendar">'Modelo de Calendário 2025'!$N$34</definedName>
    <definedName localSheetId="6" name="Data_2023_10_14_WinCalendar">'Cópia de Cópia de Modelo de Cal'!$P$55</definedName>
    <definedName localSheetId="1" name="Data_2023_07_16_WinCalendar">'Modelo de Calendário 2025'!$B$47</definedName>
    <definedName localSheetId="5" name="Data_2023_10_13_WinCalendar">'Página5'!$O$55</definedName>
    <definedName localSheetId="6" name="Data_2023_05_09_WinCalendar">'Cópia de Cópia de Modelo de Cal'!$C$35</definedName>
    <definedName localSheetId="5" name="Data_2023_12_06_WinCalendar">'Página5'!$M$66</definedName>
    <definedName localSheetId="1" name="Data_2023_06_17_WinCalendar">'Modelo de Calendário 2025'!$P$36</definedName>
    <definedName localSheetId="0" name="Data_2023_11_19_WinCalendar">'Modelo de Calendário 2026'!$B$67</definedName>
    <definedName localSheetId="6" name="Data_2023_02_08_WinCalendar">'Cópia de Cópia de Modelo de Cal'!$M$15</definedName>
    <definedName localSheetId="0" name="Data_2023_02_03_WinCalendar">'Modelo de Calendário 2026'!$O$14</definedName>
    <definedName localSheetId="0" name="Data_2023_12_15_WinCalendar">'Modelo de Calendário 2026'!$O$66</definedName>
    <definedName localSheetId="0" name="Data_2023_09_07_WinCalendar">'Modelo de Calendário 2026'!$F$54</definedName>
    <definedName localSheetId="6" name="Data_2023_03_28_WinCalendar">'Cópia de Cópia de Modelo de Cal'!$D$27</definedName>
    <definedName localSheetId="6" name="Data_2023_03_01_WinCalendar">'Cópia de Cópia de Modelo de Cal'!$E$23</definedName>
    <definedName localSheetId="6" name="Data_2023_09_26_WinCalendar">'Cópia de Cópia de Modelo de Cal'!$D$58</definedName>
    <definedName localSheetId="6" name="Data_2023_07_17_WinCalendar">'Cópia de Cópia de Modelo de Cal'!$C$47</definedName>
    <definedName localSheetId="5" name="Data_2023_12_08_WinCalendar">'Página5'!$O$66</definedName>
    <definedName localSheetId="6" name="Data_2023_08_31_WinCalendar">'Cópia de Cópia de Modelo de Cal'!$N$48</definedName>
    <definedName localSheetId="5" name="Data_2023_07_30_WinCalendar">#REF!</definedName>
    <definedName localSheetId="6" name="Data_2023_07_26_WinCalendar">'Cópia de Cópia de Modelo de Cal'!$E$48</definedName>
    <definedName localSheetId="1" name="Data_2023_05_30_WinCalendar">'Modelo de Calendário 2025'!$C$38</definedName>
    <definedName localSheetId="6" name="Data_2023_10_22_WinCalendar">'Cópia de Cópia de Modelo de Cal'!$J$57</definedName>
    <definedName localSheetId="1" name="Data_2023_11_07_WinCalendar">'Modelo de Calendário 2025'!$D$66</definedName>
    <definedName localSheetId="0" name="WinCalendar_Calendar_10">'Modelo de Calendário 2026'!$J$51:$P$61</definedName>
    <definedName localSheetId="1" name="Data_2023_05_06_WinCalendar">'Modelo de Calendário 2025'!$G$34</definedName>
    <definedName localSheetId="0" name="Data_2023_09_11_WinCalendar">'Modelo de Calendário 2026'!$C$55</definedName>
    <definedName localSheetId="6" name="Data_2023_03_05_WinCalendar">'Cópia de Cópia de Modelo de Cal'!$B$24</definedName>
    <definedName localSheetId="0" name="Data_2023_12_17_WinCalendar">'Modelo de Calendário 2026'!$J$67</definedName>
    <definedName localSheetId="5" name="Data_2023_08_15_WinCalendar">'Página5'!$L$46</definedName>
    <definedName localSheetId="0" name="Data_2023_10_06_WinCalendar">'Modelo de Calendário 2026'!$O$53</definedName>
    <definedName localSheetId="6" name="Data_2023_11_25_WinCalendar">'Cópia de Cópia de Modelo de Cal'!$H$68</definedName>
    <definedName localSheetId="4" name="Data_2023_02_09_WinCalendar">'Cópia de Modelo de Calendário 2'!$N$15</definedName>
    <definedName localSheetId="1" name="Data_2023_11_19_WinCalendar">'Modelo de Calendário 2025'!$B$68</definedName>
    <definedName localSheetId="1" name="Data_2023_09_07_WinCalendar">'Modelo de Calendário 2025'!$F$55</definedName>
    <definedName localSheetId="4" name="Data_2023_11_04_WinCalendar">'Cópia de Modelo de Calendário 2'!$H$65</definedName>
    <definedName localSheetId="6" name="Data_2023_06_19_WinCalendar">'Cópia de Cópia de Modelo de Cal'!$K$37</definedName>
    <definedName localSheetId="5" name="Data_2023_07_14_WinCalendar">'Página5'!$G$46</definedName>
    <definedName localSheetId="5" name="Data_2023_11_09_WinCalendar">'Página5'!$F$66</definedName>
    <definedName localSheetId="1" name="Data_2023_06_16_WinCalendar">'Modelo de Calendário 2025'!$O$36</definedName>
    <definedName localSheetId="6" name="Data_2023_08_13_WinCalendar">'Cópia de Cópia de Modelo de Cal'!$J$46</definedName>
    <definedName localSheetId="4" name="Data_2023_06_29_WinCalendar">#REF!</definedName>
    <definedName localSheetId="6" name="Data_2023_09_29_WinCalendar">'Cópia de Cópia de Modelo de Cal'!$G$58</definedName>
    <definedName localSheetId="0" name="Data_2023_12_09_WinCalendar">'Modelo de Calendário 2026'!$P$65</definedName>
    <definedName localSheetId="1" name="Data_2023_07_22_WinCalendar">'Modelo de Calendário 2025'!$H$47</definedName>
    <definedName localSheetId="6" name="Data_2023_05_03_WinCalendar">#REF!</definedName>
    <definedName localSheetId="0" name="Data_2023_01_04_WinCalendar">#REF!</definedName>
    <definedName localSheetId="0" name="Data_2023_05_31_WinCalendar">'Modelo de Calendário 2026'!$D$37</definedName>
    <definedName localSheetId="4" name="Data_2023_04_02_WinCalendar">'Cópia de Modelo de Calendário 2'!$J$24</definedName>
    <definedName localSheetId="0" name="Data_2023_06_03_WinCalendar">'Modelo de Calendário 2026'!$P$33</definedName>
    <definedName localSheetId="0" name="Data_2023_12_05_WinCalendar">'Modelo de Calendário 2026'!$L$65</definedName>
    <definedName localSheetId="0" name="Data_2023_06_18_WinCalendar">'Modelo de Calendário 2026'!$J$36</definedName>
    <definedName localSheetId="5" name="Data_2023_01_29_WinCalendar">'Página5'!$B$18</definedName>
    <definedName localSheetId="6" name="Data_2023_07_23_WinCalendar">'Cópia de Cópia de Modelo de Cal'!$B$48</definedName>
    <definedName localSheetId="6" name="Data_2023_12_19_WinCalendar">'Cópia de Cópia de Modelo de Cal'!$L$68</definedName>
    <definedName localSheetId="1" name="Data_2023_01_10_WinCalendar">'Modelo de Calendário 2025'!$D$15</definedName>
    <definedName localSheetId="6" name="Data_2023_10_15_WinCalendar">'Cópia de Cópia de Modelo de Cal'!$J$56</definedName>
    <definedName localSheetId="0" name="Data_2023_06_01_WinCalendar">'Modelo de Calendário 2026'!$N$33</definedName>
    <definedName localSheetId="5" name="Data_2023_11_08_WinCalendar">'Página5'!$E$66</definedName>
    <definedName localSheetId="5" name="Data_2023_07_21_WinCalendar">'Página5'!$G$47</definedName>
    <definedName localSheetId="6" name="Data_2023_05_14_WinCalendar">'Cópia de Cópia de Modelo de Cal'!$H$35</definedName>
    <definedName localSheetId="6" name="Data_2023_11_30_WinCalendar">'Cópia de Cópia de Modelo de Cal'!$F$69</definedName>
    <definedName localSheetId="4" name="Data_2023_07_02_WinCalendar">#REF!</definedName>
    <definedName localSheetId="6" name="Data_2023_06_04_WinCalendar">'Cópia de Cópia de Modelo de Cal'!$J$35</definedName>
    <definedName localSheetId="4" name="Data_2023_06_27_WinCalendar">#REF!</definedName>
    <definedName localSheetId="5" name="Data_2023_05_22_WinCalendar">'Página5'!$B$37</definedName>
    <definedName localSheetId="5" name="Data_2023_09_02_WinCalendar">'Página5'!$H$54</definedName>
    <definedName localSheetId="1" name="Data_2023_07_26_WinCalendar">'Modelo de Calendário 2025'!$E$48</definedName>
    <definedName localSheetId="0" name="Data_2023_09_14_WinCalendar">'Modelo de Calendário 2026'!$F$55</definedName>
    <definedName localSheetId="4" name="Data_2023_07_25_WinCalendar">'Cópia de Modelo de Calendário 2'!$D$48</definedName>
    <definedName localSheetId="6" name="Data_2023_03_09_WinCalendar">'Cópia de Cópia de Modelo de Cal'!$F$24</definedName>
    <definedName localSheetId="6" name="Data_2023_02_04_WinCalendar">'Cópia de Cópia de Modelo de Cal'!$P$14</definedName>
    <definedName localSheetId="4" name="Data_2023_06_15_WinCalendar">'Cópia de Modelo de Calendário 2'!$N$36</definedName>
    <definedName localSheetId="1" name="Data_2023_05_21_WinCalendar">'Modelo de Calendário 2025'!$H$36</definedName>
    <definedName localSheetId="4" name="Data_2023_10_31_WinCalendar">'Cópia de Modelo de Calendário 2'!$L$58</definedName>
    <definedName localSheetId="1" name="Data_2023_09_26_WinCalendar">'Modelo de Calendário 2025'!$D$58</definedName>
    <definedName localSheetId="0" name="Data_2023_06_06_WinCalendar">'Modelo de Calendário 2026'!$L$34</definedName>
    <definedName localSheetId="6" name="Data_2023_02_28_WinCalendar">'Cópia de Cópia de Modelo de Cal'!$L$18</definedName>
    <definedName localSheetId="0" name="Data_2023_12_04_WinCalendar">'Modelo de Calendário 2026'!$K$65</definedName>
    <definedName localSheetId="0" name="Data_2023_01_28_WinCalendar">'Modelo de Calendário 2026'!$H$17</definedName>
    <definedName localSheetId="1" name="Data_2023_10_15_WinCalendar">'Modelo de Calendário 2025'!$J$56</definedName>
    <definedName localSheetId="5" name="Data_2023_06_11_WinCalendar">'Página5'!$J$36</definedName>
    <definedName localSheetId="4" name="Data_2023_04_03_WinCalendar">'Cópia de Modelo de Calendário 2'!$K$24</definedName>
    <definedName localSheetId="4" name="Data_2023_09_08_WinCalendar">'Cópia de Modelo de Calendário 2'!$G$55</definedName>
    <definedName localSheetId="0" name="Data_2023_07_26_WinCalendar">'Modelo de Calendário 2026'!$E$47</definedName>
    <definedName localSheetId="5" name="Data_2023_02_07_WinCalendar">'Página5'!$L$15</definedName>
    <definedName localSheetId="4" name="Data_2023_12_16_WinCalendar">'Cópia de Modelo de Calendário 2'!$P$67</definedName>
    <definedName localSheetId="1" name="Data_2023_01_02_WinCalendar">'Modelo de Calendário 2025'!$E$14</definedName>
    <definedName localSheetId="0" name="Data_2023_09_28_WinCalendar">'Modelo de Calendário 2026'!$F$57</definedName>
    <definedName localSheetId="0" name="Data_2023_10_04_WinCalendar">'Modelo de Calendário 2026'!$M$53</definedName>
    <definedName localSheetId="4" name="Data_2023_03_25_WinCalendar">'Cópia de Modelo de Calendário 2'!$H$26</definedName>
    <definedName localSheetId="5" name="Data_2023_02_22_WinCalendar">'Página5'!$M$17</definedName>
    <definedName localSheetId="6" name="Data_2023_05_17_WinCalendar">'Cópia de Cópia de Modelo de Cal'!$D$36</definedName>
    <definedName localSheetId="4" name="Data_2023_03_30_WinCalendar">'Cópia de Modelo de Calendário 2'!$F$27</definedName>
    <definedName localSheetId="4" name="Data_2023_02_01_WinCalendar">'Cópia de Modelo de Calendário 2'!$M$14</definedName>
    <definedName localSheetId="6" name="Data_2023_04_05_WinCalendar">'Cópia de Cópia de Modelo de Cal'!$M$24</definedName>
    <definedName localSheetId="0" name="Data_2023_02_28_WinCalendar">'Modelo de Calendário 2026'!$L$18</definedName>
    <definedName localSheetId="5" name="Data_2023_03_28_WinCalendar">'Página5'!$D$27</definedName>
    <definedName localSheetId="6" name="Data_2023_08_16_WinCalendar">'Cópia de Cópia de Modelo de Cal'!$M$46</definedName>
    <definedName localSheetId="0" name="Data_2023_06_16_WinCalendar">'Modelo de Calendário 2026'!$O$35</definedName>
    <definedName localSheetId="4" name="Data_2023_01_07_WinCalendar">'Cópia de Modelo de Calendário 2'!$H$14</definedName>
    <definedName localSheetId="1" name="Data_2023_04_15_WinCalendar">'Modelo de Calendário 2025'!$P$25</definedName>
    <definedName localSheetId="5" name="Data_2023_05_14_WinCalendar">'Página5'!$H$35</definedName>
    <definedName localSheetId="1" name="Data_2023_10_05_WinCalendar">'Modelo de Calendário 2025'!$N$54</definedName>
    <definedName localSheetId="5" name="Data_2023_07_12_WinCalendar">'Página5'!$E$46</definedName>
    <definedName localSheetId="0" name="Data_2023_05_11_WinCalendar">'Modelo de Calendário 2026'!$E$34</definedName>
    <definedName localSheetId="6" name="Data_2023_08_02_WinCalendar">'Cópia de Cópia de Modelo de Cal'!$M$44</definedName>
    <definedName localSheetId="6" name="Data_2023_04_26_WinCalendar">'Cópia de Cópia de Modelo de Cal'!$M$27</definedName>
    <definedName localSheetId="4" name="Data_2023_08_20_WinCalendar">'Cópia de Modelo de Calendário 2'!$J$47</definedName>
    <definedName localSheetId="5" name="Data_2023_06_28_WinCalendar">#REF!</definedName>
    <definedName localSheetId="0" name="Data_2023_09_02_WinCalendar">'Modelo de Calendário 2026'!$H$53</definedName>
    <definedName localSheetId="5" name="Data_2023_06_12_WinCalendar">'Página5'!$K$36</definedName>
    <definedName localSheetId="0" name="Data_2023_01_15_WinCalendar">'Modelo de Calendário 2026'!$B$16</definedName>
    <definedName localSheetId="5" name="Data_2023_10_12_WinCalendar">'Página5'!$N$55</definedName>
    <definedName localSheetId="4" name="Data_2023_01_31_WinCalendar">'Cópia de Modelo de Calendário 2'!$D$18</definedName>
    <definedName localSheetId="5" name="Data_2023_10_17_WinCalendar">'Página5'!$L$56</definedName>
    <definedName localSheetId="1" name="Data_2023_05_22_WinCalendar">'Modelo de Calendário 2025'!$B$37</definedName>
    <definedName localSheetId="4" name="Data_2023_12_19_WinCalendar">'Cópia de Modelo de Calendário 2'!$L$68</definedName>
    <definedName localSheetId="1" name="Data_2023_10_17_WinCalendar">'Modelo de Calendário 2025'!$L$56</definedName>
    <definedName localSheetId="1" name="Data_2023_07_12_WinCalendar">'Modelo de Calendário 2025'!$E$46</definedName>
    <definedName localSheetId="4" name="Data_2023_07_13_WinCalendar">'Cópia de Modelo de Calendário 2'!$F$46</definedName>
    <definedName localSheetId="5" name="Data_2023_03_22_WinCalendar">'Página5'!$E$26</definedName>
    <definedName localSheetId="0" name="Data_2023_03_20_WinCalendar">'Modelo de Calendário 2026'!$C$26</definedName>
    <definedName localSheetId="1" name="Data_2023_07_05_WinCalendar">'Modelo de Calendário 2025'!$E$45</definedName>
    <definedName localSheetId="0" name="Data_2023_10_03_WinCalendar">'Modelo de Calendário 2026'!$L$53</definedName>
    <definedName localSheetId="0" name="Data_2023_03_05_WinCalendar">'Modelo de Calendário 2026'!$B$24</definedName>
    <definedName localSheetId="5" name="Data_2023_03_02_WinCalendar">'Página5'!$F$23</definedName>
    <definedName localSheetId="0" name="Data_2023_07_05_WinCalendar">'Modelo de Calendário 2026'!$E$44</definedName>
    <definedName localSheetId="4" name="Data_2023_12_12_WinCalendar">'Cópia de Modelo de Calendário 2'!$L$67</definedName>
    <definedName localSheetId="4" name="Data_2023_08_09_WinCalendar">'Cópia de Modelo de Calendário 2'!$M$45</definedName>
    <definedName localSheetId="5" name="Data_2023_03_31_WinCalendar">'Página5'!$G$27</definedName>
    <definedName localSheetId="4" name="Data_2023_05_19_WinCalendar">'Cópia de Modelo de Calendário 2'!$F$36</definedName>
    <definedName localSheetId="1" name="Data_2023_12_21_WinCalendar">'Modelo de Calendário 2025'!$N$68</definedName>
    <definedName localSheetId="6" name="Data_2023_11_07_WinCalendar">'Cópia de Cópia de Modelo de Cal'!$D$66</definedName>
    <definedName localSheetId="0" name="Data_2023_05_22_WinCalendar">'Modelo de Calendário 2026'!$B$36</definedName>
    <definedName localSheetId="4" name="Data_2023_05_25_WinCalendar">'Cópia de Modelo de Calendário 2'!$E$37</definedName>
    <definedName localSheetId="5" name="Data_2023_01_11_WinCalendar">'Página5'!$E$15</definedName>
    <definedName localSheetId="5" name="Data_2023_03_25_WinCalendar">'Página5'!$H$26</definedName>
    <definedName localSheetId="6" name="Data_2023_04_01_WinCalendar">'Cópia de Cópia de Modelo de Cal'!$P$23</definedName>
    <definedName localSheetId="0" name="Data_2023_03_13_WinCalendar">'Modelo de Calendário 2026'!$C$25</definedName>
    <definedName localSheetId="0" name="Data_2023_10_10_WinCalendar">'Modelo de Calendário 2026'!$L$54</definedName>
    <definedName localSheetId="5" name="Data_2023_04_08_WinCalendar">'Página5'!$P$24</definedName>
    <definedName localSheetId="4" name="Data_2023_03_03_WinCalendar">'Cópia de Modelo de Calendário 2'!$G$23</definedName>
    <definedName localSheetId="0" name="Data_2023_10_01_WinCalendar">'Modelo de Calendário 2026'!$J$53</definedName>
    <definedName localSheetId="4" name="Data_2023_11_23_WinCalendar">'Cópia de Modelo de Calendário 2'!$F$68</definedName>
    <definedName localSheetId="1" name="WinCalendar_Calendar_8">'Modelo de Calendário 2025'!$J$42:$P$48</definedName>
    <definedName localSheetId="5" name="Data_2023_01_26_WinCalendar">'Página5'!$F$17</definedName>
    <definedName localSheetId="6" name="Data_2023_05_30_WinCalendar">'Cópia de Cópia de Modelo de Cal'!$C$38</definedName>
    <definedName localSheetId="0" name="Data_2023_10_20_WinCalendar">'Modelo de Calendário 2026'!$O$55</definedName>
    <definedName localSheetId="1" name="Data_2023_05_26_WinCalendar">'Modelo de Calendário 2025'!$F$37</definedName>
    <definedName localSheetId="4" name="Data_2023_08_05_WinCalendar">'Cópia de Modelo de Calendário 2'!$P$44</definedName>
    <definedName localSheetId="5" name="Data_2023_05_16_WinCalendar">'Página5'!$C$36</definedName>
    <definedName localSheetId="6" name="Data_2023_10_12_WinCalendar">'Cópia de Cópia de Modelo de Cal'!$N$55</definedName>
    <definedName localSheetId="1" name="Data_2023_10_29_WinCalendar">'Modelo de Calendário 2025'!$J$58</definedName>
    <definedName localSheetId="4" name="Data_2023_05_03_WinCalendar">#REF!</definedName>
    <definedName localSheetId="6" name="Data_2023_03_11_WinCalendar">'Cópia de Cópia de Modelo de Cal'!$H$24</definedName>
    <definedName localSheetId="0" name="Data_2023_08_06_WinCalendar">'Modelo de Calendário 2026'!$J$44</definedName>
    <definedName localSheetId="5" name="Data_2023_04_01_WinCalendar">'Página5'!$P$23</definedName>
    <definedName localSheetId="4" name="Data_2023_11_05_WinCalendar">'Cópia de Modelo de Calendário 2'!$B$66</definedName>
    <definedName localSheetId="5" name="Data_2023_11_04_WinCalendar">'Página5'!$H$65</definedName>
    <definedName localSheetId="6" name="Data_2023_05_13_WinCalendar">'Cópia de Cópia de Modelo de Cal'!$G$35</definedName>
    <definedName localSheetId="6" name="Data_2023_10_03_WinCalendar">'Cópia de Cópia de Modelo de Cal'!$L$54</definedName>
    <definedName localSheetId="6" name="Data_2023_05_01_WinCalendar">'Cópia de Cópia de Modelo de Cal'!$C$34</definedName>
    <definedName localSheetId="6" name="Data_2023_08_05_WinCalendar">'Cópia de Cópia de Modelo de Cal'!$P$44</definedName>
    <definedName localSheetId="6" name="Data_2023_04_14_WinCalendar">'Cópia de Cópia de Modelo de Cal'!$O$25</definedName>
    <definedName localSheetId="0" name="Data_2023_06_15_WinCalendar">'Modelo de Calendário 2026'!$N$35</definedName>
    <definedName localSheetId="4" name="Data_2023_03_10_WinCalendar">'Cópia de Modelo de Calendário 2'!$G$24</definedName>
    <definedName localSheetId="5" name="Data_2023_12_09_WinCalendar">'Página5'!$P$66</definedName>
    <definedName localSheetId="4" name="Data_2023_08_01_WinCalendar">'Cópia de Modelo de Calendário 2'!$N$44</definedName>
    <definedName localSheetId="0" name="Data_2023_10_11_WinCalendar">'Modelo de Calendário 2026'!$M$54</definedName>
    <definedName localSheetId="0" name="Data_2023_03_11_WinCalendar">'Modelo de Calendário 2026'!$H$24</definedName>
    <definedName localSheetId="4" name="Data_2023_10_10_WinCalendar">'Cópia de Modelo de Calendário 2'!$L$55</definedName>
    <definedName localSheetId="0" name="Data_2023_12_28_WinCalendar">#REF!</definedName>
    <definedName localSheetId="4" name="Data_2023_10_12_WinCalendar">'Cópia de Modelo de Calendário 2'!$N$55</definedName>
    <definedName localSheetId="4" name="Data_2023_11_27_WinCalendar">'Cópia de Modelo de Calendário 2'!$C$69</definedName>
    <definedName localSheetId="5" name="Data_2023_07_18_WinCalendar">'Página5'!$D$47</definedName>
    <definedName localSheetId="4" name="Data_2023_06_17_WinCalendar">'Cópia de Modelo de Calendário 2'!$P$36</definedName>
    <definedName localSheetId="4" name="Data_2023_11_26_WinCalendar">'Cópia de Modelo de Calendário 2'!$B$69</definedName>
    <definedName localSheetId="6" name="Data_2023_06_03_WinCalendar">'Cópia de Cópia de Modelo de Cal'!$P$34</definedName>
    <definedName localSheetId="6" name="Data_2023_07_07_WinCalendar">'Cópia de Cópia de Modelo de Cal'!$G$45</definedName>
    <definedName localSheetId="1" name="Data_2023_06_05_WinCalendar">'Modelo de Calendário 2025'!$K$35</definedName>
    <definedName localSheetId="1" name="Data_2023_11_30_WinCalendar">'Modelo de Calendário 2025'!$F$69</definedName>
    <definedName localSheetId="1" name="Data_2023_08_11_WinCalendar">'Modelo de Calendário 2025'!$O$45</definedName>
    <definedName localSheetId="5" name="Data_2023_05_23_WinCalendar">'Página5'!$C$37</definedName>
    <definedName localSheetId="0" name="Data_2023_08_25_WinCalendar">'Modelo de Calendário 2026'!$O$46</definedName>
    <definedName localSheetId="1" name="Data_2023_06_26_WinCalendar">#REF!</definedName>
    <definedName localSheetId="4" name="Data_2023_11_03_WinCalendar">'Cópia de Modelo de Calendário 2'!$G$65</definedName>
    <definedName localSheetId="4" name="Data_2023_12_18_WinCalendar">'Cópia de Modelo de Calendário 2'!$K$68</definedName>
    <definedName localSheetId="4" name="Data_2023_02_03_WinCalendar">'Cópia de Modelo de Calendário 2'!$O$14</definedName>
    <definedName localSheetId="6" name="Data_2023_08_14_WinCalendar">'Cópia de Cópia de Modelo de Cal'!$K$46</definedName>
    <definedName localSheetId="0" name="Data_2023_02_14_WinCalendar">'Modelo de Calendário 2026'!$L$16</definedName>
    <definedName localSheetId="4" name="Data_2023_11_30_WinCalendar">'Cópia de Modelo de Calendário 2'!$F$69</definedName>
    <definedName localSheetId="0" name="WinCalendar_Calendar_7">'Modelo de Calendário 2026'!$B$41:$H$50</definedName>
    <definedName localSheetId="5" name="Data_2023_11_15_WinCalendar">'Página5'!$E$67</definedName>
    <definedName localSheetId="5" name="Data_2023_02_04_WinCalendar">'Página5'!$P$14</definedName>
    <definedName localSheetId="0" name="Data_2023_01_29_WinCalendar">'Modelo de Calendário 2026'!$B$18</definedName>
    <definedName localSheetId="0" name="Data_2023_03_22_WinCalendar">'Modelo de Calendário 2026'!$E$26</definedName>
    <definedName localSheetId="1" name="Data_2023_07_11_WinCalendar">'Modelo de Calendário 2025'!$D$46</definedName>
    <definedName localSheetId="6" name="Data_2023_07_31_WinCalendar">#REF!</definedName>
    <definedName localSheetId="0" name="Data_2023_02_11_WinCalendar">'Modelo de Calendário 2026'!$P$15</definedName>
    <definedName localSheetId="6" name="Data_2023_09_12_WinCalendar">'Cópia de Cópia de Modelo de Cal'!$D$56</definedName>
    <definedName localSheetId="5" name="Data_2023_10_18_WinCalendar">'Página5'!$M$56</definedName>
    <definedName localSheetId="6" name="Data_2023_08_20_WinCalendar">'Cópia de Cópia de Modelo de Cal'!$J$47</definedName>
    <definedName localSheetId="1" name="Data_2023_07_01_WinCalendar">'Modelo de Calendário 2025'!$H$44</definedName>
    <definedName localSheetId="5" name="Data_2023_01_24_WinCalendar">'Página5'!$D$17</definedName>
    <definedName localSheetId="6" name="Data_2023_05_02_WinCalendar">'Cópia de Cópia de Modelo de Cal'!$D$34</definedName>
    <definedName localSheetId="0" name="Data_2023_06_22_WinCalendar">'Modelo de Calendário 2026'!$N$36</definedName>
    <definedName localSheetId="5" name="Data_2023_10_27_WinCalendar">'Página5'!$O$57</definedName>
    <definedName localSheetId="4" name="Data_2023_10_05_WinCalendar">'Cópia de Modelo de Calendário 2'!$N$54</definedName>
    <definedName localSheetId="6" name="Data_2023_06_12_WinCalendar">'Cópia de Cópia de Modelo de Cal'!$K$36</definedName>
    <definedName localSheetId="0" name="Data_2023_05_20_WinCalendar">'Modelo de Calendário 2026'!$G$35</definedName>
    <definedName localSheetId="0" name="Data_2023_08_23_WinCalendar">'Modelo de Calendário 2026'!$M$46</definedName>
    <definedName localSheetId="4" name="Data_2023_09_13_WinCalendar">'Cópia de Modelo de Calendário 2'!$E$56</definedName>
    <definedName localSheetId="4" name="Data_2023_05_18_WinCalendar">'Cópia de Modelo de Calendário 2'!$E$36</definedName>
    <definedName localSheetId="1" name="Data_2023_05_07_WinCalendar">'Modelo de Calendário 2025'!$H$34</definedName>
    <definedName localSheetId="6" name="Data_2023_12_30_WinCalendar">#REF!</definedName>
    <definedName localSheetId="0" name="Data_2023_06_23_WinCalendar">'Modelo de Calendário 2026'!$O$36</definedName>
    <definedName localSheetId="5" name="Data_2023_12_18_WinCalendar">'Página5'!$K$68</definedName>
    <definedName localSheetId="0" name="Data_2023_07_16_WinCalendar">'Modelo de Calendário 2026'!$B$46</definedName>
    <definedName localSheetId="5" name="Data_2023_04_20_WinCalendar">'Página5'!$N$26</definedName>
    <definedName localSheetId="6" name="Data_2023_03_17_WinCalendar">'Cópia de Cópia de Modelo de Cal'!$G$25</definedName>
    <definedName localSheetId="0" name="Data_2023_11_21_WinCalendar">'Modelo de Calendário 2026'!$D$67</definedName>
    <definedName localSheetId="0" name="Data_2023_01_11_WinCalendar">'Modelo de Calendário 2026'!$E$15</definedName>
    <definedName localSheetId="0" name="Data_2023_02_01_WinCalendar">'Modelo de Calendário 2026'!$M$14</definedName>
    <definedName localSheetId="4" name="Data_2023_08_22_WinCalendar">'Cópia de Modelo de Calendário 2'!$L$47</definedName>
    <definedName localSheetId="4" name="Data_2023_03_07_WinCalendar">'Cópia de Modelo de Calendário 2'!$D$24</definedName>
    <definedName localSheetId="6" name="Data_2023_06_13_WinCalendar">'Cópia de Cópia de Modelo de Cal'!$L$36</definedName>
    <definedName localSheetId="5" name="Data_2023_08_13_WinCalendar">'Página5'!$J$46</definedName>
    <definedName localSheetId="0" name="Data_2023_11_07_WinCalendar">'Modelo de Calendário 2026'!$D$65</definedName>
    <definedName localSheetId="4" name="Data_2023_09_11_WinCalendar">'Cópia de Modelo de Calendário 2'!$C$56</definedName>
    <definedName localSheetId="5" name="Data_2023_06_08_WinCalendar">'Página5'!$N$35</definedName>
    <definedName localSheetId="5" name="Data_2023_10_11_WinCalendar">'Página5'!$M$55</definedName>
    <definedName localSheetId="1" name="Data_2023_12_20_WinCalendar">'Modelo de Calendário 2025'!$M$68</definedName>
    <definedName localSheetId="4" name="Data_2023_01_24_WinCalendar">'Cópia de Modelo de Calendário 2'!$D$17</definedName>
    <definedName localSheetId="0" name="Data_2023_02_15_WinCalendar">'Modelo de Calendário 2026'!$M$16</definedName>
    <definedName localSheetId="1" name="Data_2023_12_22_WinCalendar">'Modelo de Calendário 2025'!$O$68</definedName>
    <definedName localSheetId="4" name="Data_2023_06_20_WinCalendar">'Cópia de Modelo de Calendário 2'!$L$37</definedName>
    <definedName localSheetId="6" name="Data_2023_02_18_WinCalendar">'Cópia de Cópia de Modelo de Cal'!$P$16</definedName>
    <definedName localSheetId="1" name="Data_2023_11_15_WinCalendar">'Modelo de Calendário 2025'!$E$67</definedName>
    <definedName localSheetId="5" name="Data_2023_12_22_WinCalendar">'Página5'!$O$68</definedName>
    <definedName localSheetId="6" name="Data_2023_01_12_WinCalendar">'Cópia de Cópia de Modelo de Cal'!$F$15</definedName>
    <definedName localSheetId="1" name="Data_2023_11_27_WinCalendar">'Modelo de Calendário 2025'!$C$69</definedName>
    <definedName localSheetId="0" name="Data_2023_11_01_WinCalendar">'Modelo de Calendário 2026'!$E$64</definedName>
    <definedName localSheetId="4" name="Data_2023_10_26_WinCalendar">'Cópia de Modelo de Calendário 2'!$N$57</definedName>
    <definedName localSheetId="0" name="Data_2023_09_01_WinCalendar">'Modelo de Calendário 2026'!$G$53</definedName>
    <definedName localSheetId="5" name="Data_2023_11_05_WinCalendar">'Página5'!$B$66</definedName>
    <definedName localSheetId="1" name="Data_2023_07_19_WinCalendar">'Modelo de Calendário 2025'!$E$47</definedName>
    <definedName localSheetId="4" name="Data_2023_05_15_WinCalendar">'Cópia de Modelo de Calendário 2'!$B$36</definedName>
    <definedName localSheetId="4" name="Data_2023_06_18_WinCalendar">'Cópia de Modelo de Calendário 2'!$J$37</definedName>
    <definedName localSheetId="5" name="Data_2023_03_05_WinCalendar">'Página5'!$B$24</definedName>
    <definedName localSheetId="6" name="Data_2023_03_06_WinCalendar">'Cópia de Cópia de Modelo de Cal'!$C$24</definedName>
    <definedName localSheetId="6" name="Data_2023_11_01_WinCalendar">'Cópia de Cópia de Modelo de Cal'!$E$65</definedName>
    <definedName localSheetId="6" name="Data_2023_11_29_WinCalendar">'Cópia de Cópia de Modelo de Cal'!$E$69</definedName>
    <definedName localSheetId="6" name="Data_2023_07_03_WinCalendar">'Cópia de Cópia de Modelo de Cal'!$B$45</definedName>
    <definedName localSheetId="5" name="Data_2023_04_19_WinCalendar">'Página5'!$M$26</definedName>
    <definedName localSheetId="4" name="Data_2023_07_30_WinCalendar">#REF!</definedName>
    <definedName localSheetId="1" name="Data_2023_09_10_WinCalendar">'Modelo de Calendário 2025'!$B$56</definedName>
    <definedName localSheetId="4" name="Data_2023_06_05_WinCalendar">'Cópia de Modelo de Calendário 2'!$K$35</definedName>
    <definedName localSheetId="4" name="Data_2023_03_04_WinCalendar">'Cópia de Modelo de Calendário 2'!$H$23</definedName>
    <definedName localSheetId="0" name="WinCalendar_Calendar_8">'Modelo de Calendário 2026'!$J$41:$P$47</definedName>
    <definedName localSheetId="4" name="Data_2023_12_09_WinCalendar">'Cópia de Modelo de Calendário 2'!$P$66</definedName>
    <definedName localSheetId="4" name="Data_2023_07_21_WinCalendar">'Cópia de Modelo de Calendário 2'!$G$47</definedName>
    <definedName localSheetId="5" name="Data_2023_12_12_WinCalendar">'Página5'!$L$67</definedName>
    <definedName localSheetId="6" name="Data_2023_05_07_WinCalendar">'Cópia de Cópia de Modelo de Cal'!$H$34</definedName>
    <definedName localSheetId="0" name="Data_2023_08_10_WinCalendar">'Modelo de Calendário 2026'!$N$44</definedName>
    <definedName localSheetId="1" name="Data_2023_03_04_WinCalendar">'Modelo de Calendário 2025'!$H$23</definedName>
    <definedName localSheetId="4" name="Data_2023_02_04_WinCalendar">'Cópia de Modelo de Calendário 2'!$P$14</definedName>
    <definedName localSheetId="4" name="Data_2023_08_26_WinCalendar">'Cópia de Modelo de Calendário 2'!$P$47</definedName>
    <definedName localSheetId="5" name="Data_2023_07_23_WinCalendar">'Página5'!$B$48</definedName>
    <definedName localSheetId="5" name="Data_2023_02_05_WinCalendar">'Página5'!$J$15</definedName>
    <definedName localSheetId="5" name="Data_2023_08_29_WinCalendar">'Página5'!$L$48</definedName>
    <definedName localSheetId="4" name="Data_2023_11_01_WinCalendar">'Cópia de Modelo de Calendário 2'!$E$65</definedName>
    <definedName localSheetId="6" name="Data_2023_04_12_WinCalendar">'Cópia de Cópia de Modelo de Cal'!$M$25</definedName>
    <definedName localSheetId="5" name="Data_2023_08_11_WinCalendar">'Página5'!$O$45</definedName>
    <definedName localSheetId="0" name="Data_2023_04_19_WinCalendar">'Modelo de Calendário 2026'!$M$26</definedName>
    <definedName localSheetId="5" name="Data_2023_04_14_WinCalendar">'Página5'!$O$25</definedName>
    <definedName localSheetId="1" name="Data_2023_08_31_WinCalendar">'Modelo de Calendário 2025'!$N$48</definedName>
    <definedName localSheetId="5" name="Data_2023_02_18_WinCalendar">'Página5'!$P$16</definedName>
    <definedName localSheetId="1" name="Data_2023_05_24_WinCalendar">'Modelo de Calendário 2025'!$D$37</definedName>
    <definedName localSheetId="5" name="Data_2023_06_03_WinCalendar">'Página5'!$P$34</definedName>
    <definedName localSheetId="1" name="Data_2023_01_29_WinCalendar">'Modelo de Calendário 2025'!$B$18</definedName>
    <definedName localSheetId="0" name="Data_2023_08_13_WinCalendar">'Modelo de Calendário 2026'!$J$45</definedName>
    <definedName localSheetId="4" name="Data_2023_08_21_WinCalendar">'Cópia de Modelo de Calendário 2'!$K$47</definedName>
    <definedName localSheetId="6" name="Data_2023_11_10_WinCalendar">'Cópia de Cópia de Modelo de Cal'!$G$66</definedName>
    <definedName localSheetId="4" name="Data_2023_03_24_WinCalendar">'Cópia de Modelo de Calendário 2'!$G$26</definedName>
    <definedName localSheetId="4" name="Data_2023_06_22_WinCalendar">'Cópia de Modelo de Calendário 2'!$N$37</definedName>
    <definedName localSheetId="6" name="Data_2023_07_20_WinCalendar">'Cópia de Cópia de Modelo de Cal'!$F$47</definedName>
    <definedName localSheetId="4" name="WinCalendar_Calendar_8">'Cópia de Modelo de Calendário 2'!$J$42:$P$48</definedName>
    <definedName localSheetId="0" name="Data_2023_04_30_WinCalendar">'Modelo de Calendário 2026'!$J$28</definedName>
    <definedName localSheetId="1" name="Data_2023_07_23_WinCalendar">'Modelo de Calendário 2025'!$B$48</definedName>
    <definedName localSheetId="5" name="Data_2023_07_10_WinCalendar">'Página5'!$C$46</definedName>
    <definedName localSheetId="5" name="Data_2023_01_08_WinCalendar">'Página5'!$B$15</definedName>
    <definedName localSheetId="4" name="Data_2023_01_25_WinCalendar">'Cópia de Modelo de Calendário 2'!$E$17</definedName>
    <definedName localSheetId="6" name="Data_2023_09_02_WinCalendar">'Cópia de Cópia de Modelo de Cal'!$H$54</definedName>
    <definedName localSheetId="5" name="Data_2023_06_14_WinCalendar">'Página5'!$M$36</definedName>
    <definedName localSheetId="0" name="Data_2023_09_16_WinCalendar">'Modelo de Calendário 2026'!$H$55</definedName>
    <definedName localSheetId="6" name="Data_2023_01_18_WinCalendar">'Cópia de Cópia de Modelo de Cal'!$E$16</definedName>
    <definedName localSheetId="4" name="Data_2023_12_26_WinCalendar">#REF!</definedName>
    <definedName localSheetId="6" name="WinCalendar_Calendar_8">'Cópia de Cópia de Modelo de Cal'!$J$42:$P$48</definedName>
    <definedName localSheetId="0" name="Data_2023_03_06_WinCalendar">'Modelo de Calendário 2026'!$C$24</definedName>
    <definedName localSheetId="0" name="Data_2023_01_25_WinCalendar">'Modelo de Calendário 2026'!$E$17</definedName>
    <definedName localSheetId="0" name="Data_2023_11_12_WinCalendar">'Modelo de Calendário 2026'!$B$66</definedName>
    <definedName localSheetId="6" name="Data_2023_09_18_WinCalendar">'Cópia de Cópia de Modelo de Cal'!$C$57</definedName>
    <definedName localSheetId="1" name="Data_2023_08_09_WinCalendar">'Modelo de Calendário 2025'!$M$45</definedName>
    <definedName localSheetId="6" name="Data_2023_08_28_WinCalendar">'Cópia de Cópia de Modelo de Cal'!$K$48</definedName>
    <definedName localSheetId="1" name="Data_2023_05_10_WinCalendar">'Modelo de Calendário 2025'!$D$35</definedName>
    <definedName localSheetId="1" name="Data_2023_06_04_WinCalendar">'Modelo de Calendário 2025'!$J$35</definedName>
    <definedName localSheetId="5" name="Data_2023_01_01_WinCalendar">'Página5'!$B$14</definedName>
    <definedName localSheetId="6" name="Data_2023_09_22_WinCalendar">'Cópia de Cópia de Modelo de Cal'!$G$57</definedName>
    <definedName localSheetId="5" name="Data_2023_10_25_WinCalendar">'Página5'!$M$57</definedName>
    <definedName localSheetId="0" name="Data_2023_01_23_WinCalendar">'Modelo de Calendário 2026'!$C$17</definedName>
    <definedName localSheetId="5" name="Data_2023_02_06_WinCalendar">'Página5'!$K$15</definedName>
    <definedName localSheetId="5" name="Data_2023_02_28_WinCalendar">'Página5'!$L$18</definedName>
    <definedName localSheetId="1" name="Data_2023_11_03_WinCalendar">'Modelo de Calendário 2025'!$G$65</definedName>
    <definedName localSheetId="4" name="Data_2023_11_22_WinCalendar">'Cópia de Modelo de Calendário 2'!$E$68</definedName>
    <definedName localSheetId="4" name="Data_2023_01_01_WinCalendar">'Cópia de Modelo de Calendário 2'!$B$14</definedName>
    <definedName localSheetId="1" name="Data_2023_02_13_WinCalendar">'Modelo de Calendário 2025'!$K$16</definedName>
    <definedName localSheetId="5" name="Data_2023_11_11_WinCalendar">'Página5'!$H$66</definedName>
    <definedName localSheetId="4" name="Data_2023_09_12_WinCalendar">'Cópia de Modelo de Calendário 2'!$D$56</definedName>
    <definedName localSheetId="1" name="Data_2023_10_14_WinCalendar">'Modelo de Calendário 2025'!$P$55</definedName>
    <definedName localSheetId="4" name="Data_2023_07_26_WinCalendar">'Cópia de Modelo de Calendário 2'!$E$48</definedName>
    <definedName localSheetId="5" name="Data_2023_02_14_WinCalendar">'Página5'!$L$16</definedName>
    <definedName localSheetId="0" name="Data_2023_09_24_WinCalendar">'Modelo de Calendário 2026'!$B$57</definedName>
    <definedName localSheetId="0" name="Data_2023_03_02_WinCalendar">'Modelo de Calendário 2026'!$F$23</definedName>
    <definedName localSheetId="1" name="Data_2023_08_21_WinCalendar">'Modelo de Calendário 2025'!$K$47</definedName>
    <definedName localSheetId="4" name="Data_2023_04_21_WinCalendar">'Cópia de Modelo de Calendário 2'!$O$26</definedName>
    <definedName localSheetId="0" name="Data_2023_07_17_WinCalendar">'Modelo de Calendário 2026'!$C$46</definedName>
    <definedName localSheetId="5" name="Data_2023_09_21_WinCalendar">'Página5'!$F$57</definedName>
    <definedName localSheetId="6" name="Data_2023_11_12_WinCalendar">'Cópia de Cópia de Modelo de Cal'!$B$67</definedName>
    <definedName localSheetId="6" name="Data_2023_11_20_WinCalendar">'Cópia de Cópia de Modelo de Cal'!$C$68</definedName>
    <definedName localSheetId="4" name="Data_2023_01_22_WinCalendar">'Cópia de Modelo de Calendário 2'!$B$17</definedName>
    <definedName localSheetId="6" name="Data_2023_07_21_WinCalendar">'Cópia de Cópia de Modelo de Cal'!$G$47</definedName>
    <definedName localSheetId="4" name="Data_2023_04_29_WinCalendar">'Cópia de Modelo de Calendário 2'!$P$27</definedName>
    <definedName localSheetId="6" name="Data_2023_08_01_WinCalendar">'Cópia de Cópia de Modelo de Cal'!$N$44</definedName>
    <definedName localSheetId="4" name="Data_2023_12_13_WinCalendar">'Cópia de Modelo de Calendário 2'!$M$67</definedName>
    <definedName localSheetId="1" name="Data_2023_02_26_WinCalendar">'Modelo de Calendário 2025'!$J$18</definedName>
    <definedName localSheetId="1" name="Data_2023_05_08_WinCalendar">'Modelo de Calendário 2025'!$B$35</definedName>
    <definedName localSheetId="1" name="Data_2023_08_03_WinCalendar">#REF!</definedName>
    <definedName localSheetId="6" name="Data_2023_11_11_WinCalendar">'Cópia de Cópia de Modelo de Cal'!$H$66</definedName>
    <definedName localSheetId="1" name="Data_2023_11_05_WinCalendar">'Modelo de Calendário 2025'!$B$66</definedName>
    <definedName localSheetId="0" name="Data_2023_02_21_WinCalendar">'Modelo de Calendário 2026'!$L$17</definedName>
    <definedName localSheetId="4" name="Data_2023_01_04_WinCalendar">#REF!</definedName>
    <definedName localSheetId="5" name="Data_2023_05_19_WinCalendar">'Página5'!$F$36</definedName>
    <definedName localSheetId="5" name="Data_2023_09_27_WinCalendar">'Página5'!$E$58</definedName>
    <definedName localSheetId="6" name="Data_2023_07_29_WinCalendar">'Cópia de Cópia de Modelo de Cal'!$H$48</definedName>
    <definedName localSheetId="4" name="Data_2023_04_16_WinCalendar">'Cópia de Modelo de Calendário 2'!$J$26</definedName>
    <definedName localSheetId="4" name="Data_2023_12_27_WinCalendar">#REF!</definedName>
    <definedName localSheetId="6" name="Data_2023_11_03_WinCalendar">'Cópia de Cópia de Modelo de Cal'!$G$65</definedName>
    <definedName localSheetId="1" name="Data_2023_03_11_WinCalendar">'Modelo de Calendário 2025'!$H$24</definedName>
    <definedName localSheetId="6" name="Data_2023_02_06_WinCalendar">'Cópia de Cópia de Modelo de Cal'!$K$15</definedName>
    <definedName localSheetId="0" name="Data_2023_02_19_WinCalendar">'Modelo de Calendário 2026'!$J$17</definedName>
    <definedName localSheetId="4" name="Data_2023_11_08_WinCalendar">'Cópia de Modelo de Calendário 2'!$E$66</definedName>
    <definedName localSheetId="6" name="Data_2023_09_17_WinCalendar">'Cópia de Cópia de Modelo de Cal'!$B$57</definedName>
    <definedName localSheetId="6" name="Data_2023_12_31_WinCalendar">'Cópia de Cópia de Modelo de Cal'!$J$69</definedName>
    <definedName localSheetId="5" name="Data_2023_08_28_WinCalendar">'Página5'!$K$48</definedName>
    <definedName localSheetId="5" name="Data_2023_11_21_WinCalendar">'Página5'!$D$68</definedName>
    <definedName localSheetId="5" name="Data_2023_03_15_WinCalendar">'Página5'!$E$25</definedName>
    <definedName localSheetId="4" name="Data_2023_06_07_WinCalendar">'Cópia de Modelo de Calendário 2'!$M$35</definedName>
    <definedName localSheetId="1" name="Data_2023_07_02_WinCalendar">#REF!</definedName>
    <definedName localSheetId="1" name="Data_2023_09_04_WinCalendar">'Modelo de Calendário 2025'!$C$55</definedName>
    <definedName localSheetId="1" name="Data_2023_02_28_WinCalendar">'Modelo de Calendário 2025'!$L$18</definedName>
    <definedName localSheetId="6" name="Data_2023_08_27_WinCalendar">'Cópia de Cópia de Modelo de Cal'!$J$48</definedName>
    <definedName localSheetId="6" name="Data_2023_06_10_WinCalendar">'Cópia de Cópia de Modelo de Cal'!$P$35</definedName>
    <definedName localSheetId="4" name="Data_2023_03_20_WinCalendar">'Cópia de Modelo de Calendário 2'!$C$26</definedName>
    <definedName localSheetId="4" name="Data_2023_02_10_WinCalendar">'Cópia de Modelo de Calendário 2'!$O$15</definedName>
    <definedName localSheetId="6" name="Data_2023_07_02_WinCalendar">#REF!</definedName>
    <definedName localSheetId="6" name="Data_2023_11_09_WinCalendar">'Cópia de Cópia de Modelo de Cal'!$F$66</definedName>
    <definedName localSheetId="6" name="Data_2023_06_11_WinCalendar">'Cópia de Cópia de Modelo de Cal'!$J$36</definedName>
    <definedName localSheetId="4" name="Data_2023_03_17_WinCalendar">'Cópia de Modelo de Calendário 2'!$G$25</definedName>
    <definedName localSheetId="1" name="Data_2023_01_16_WinCalendar">'Modelo de Calendário 2025'!$C$16</definedName>
    <definedName localSheetId="0" name="Data_2023_07_21_WinCalendar">'Modelo de Calendário 2026'!$G$46</definedName>
    <definedName localSheetId="5" name="Data_2023_08_19_WinCalendar">'Página5'!$P$46</definedName>
    <definedName localSheetId="1" name="WinCalendar_Calendar_12">'Modelo de Calendário 2025'!$J$63:$P$71</definedName>
    <definedName localSheetId="1" name="Data_2023_08_12_WinCalendar">'Modelo de Calendário 2025'!$P$45</definedName>
    <definedName localSheetId="5" name="Data_2023_04_30_WinCalendar">'Página5'!$J$28</definedName>
    <definedName localSheetId="5" name="Data_2023_02_13_WinCalendar">'Página5'!$K$16</definedName>
    <definedName localSheetId="4" name="Data_2023_05_02_WinCalendar">'Cópia de Modelo de Calendário 2'!$D$34</definedName>
    <definedName localSheetId="5" name="Data_2023_11_12_WinCalendar">'Página5'!$B$67</definedName>
    <definedName localSheetId="5" name="Data_2023_06_21_WinCalendar">'Página5'!$M$37</definedName>
    <definedName localSheetId="0" name="Data_2023_02_02_WinCalendar">'Modelo de Calendário 2026'!$N$14</definedName>
    <definedName localSheetId="5" name="Data_2023_04_29_WinCalendar">'Página5'!$P$27</definedName>
    <definedName localSheetId="1" name="Data_2023_06_24_WinCalendar">'Modelo de Calendário 2025'!$P$37</definedName>
    <definedName localSheetId="6" name="Data_2023_01_17_WinCalendar">'Cópia de Cópia de Modelo de Cal'!$D$16</definedName>
    <definedName localSheetId="0" name="Data_2023_02_26_WinCalendar">'Modelo de Calendário 2026'!$J$18</definedName>
    <definedName localSheetId="0" name="Data_2023_06_27_WinCalendar">#REF!</definedName>
    <definedName localSheetId="1" name="Data_2023_09_28_WinCalendar">'Modelo de Calendário 2025'!$F$58</definedName>
    <definedName localSheetId="4" name="Data_2023_04_07_WinCalendar">'Cópia de Modelo de Calendário 2'!$O$24</definedName>
    <definedName localSheetId="6" name="Data_2023_10_08_WinCalendar">'Cópia de Cópia de Modelo de Cal'!$J$55</definedName>
    <definedName localSheetId="0" name="Data_2023_07_19_WinCalendar">'Modelo de Calendário 2026'!$E$46</definedName>
    <definedName localSheetId="1" name="Data_2023_09_09_WinCalendar">'Modelo de Calendário 2025'!$H$55</definedName>
    <definedName localSheetId="0" name="Data_2023_10_27_WinCalendar">'Modelo de Calendário 2026'!$O$56</definedName>
    <definedName localSheetId="6" name="Data_2023_06_21_WinCalendar">'Cópia de Cópia de Modelo de Cal'!$M$37</definedName>
    <definedName localSheetId="0" name="Data_2023_04_16_WinCalendar">'Modelo de Calendário 2026'!$J$26</definedName>
    <definedName localSheetId="6" name="Data_2023_10_23_WinCalendar">'Cópia de Cópia de Modelo de Cal'!$K$57</definedName>
    <definedName localSheetId="1" name="Data_2023_10_07_WinCalendar">'Modelo de Calendário 2025'!$P$54</definedName>
    <definedName localSheetId="1" name="Data_2023_01_13_WinCalendar">'Modelo de Calendário 2025'!$G$15</definedName>
    <definedName localSheetId="5" name="Data_2023_04_07_WinCalendar">'Página5'!$O$24</definedName>
    <definedName localSheetId="0" name="Data_2023_09_04_WinCalendar">'Modelo de Calendário 2026'!$C$54</definedName>
    <definedName localSheetId="1" name="Data_2023_03_14_WinCalendar">'Modelo de Calendário 2025'!$D$25</definedName>
    <definedName localSheetId="1" name="Data_2023_06_08_WinCalendar">'Modelo de Calendário 2025'!$N$35</definedName>
    <definedName localSheetId="5" name="Data_2023_11_16_WinCalendar">'Página5'!$F$67</definedName>
    <definedName localSheetId="6" name="Data_2023_10_28_WinCalendar">'Cópia de Cópia de Modelo de Cal'!$P$57</definedName>
    <definedName localSheetId="1" name="Data_2023_02_14_WinCalendar">'Modelo de Calendário 2025'!$L$16</definedName>
    <definedName localSheetId="6" name="Data_2023_01_02_WinCalendar">'Cópia de Cópia de Modelo de Cal'!$E$14</definedName>
    <definedName localSheetId="1" name="Data_2023_07_21_WinCalendar">'Modelo de Calendário 2025'!$G$47</definedName>
    <definedName localSheetId="6" name="Data_2023_02_15_WinCalendar">'Cópia de Cópia de Modelo de Cal'!$M$16</definedName>
    <definedName localSheetId="6" name="Data_2023_10_18_WinCalendar">'Cópia de Cópia de Modelo de Cal'!$M$56</definedName>
    <definedName localSheetId="4" name="Data_2023_05_17_WinCalendar">'Cópia de Modelo de Calendário 2'!$D$36</definedName>
    <definedName localSheetId="1" name="Data_2023_02_06_WinCalendar">'Modelo de Calendário 2025'!$K$15</definedName>
    <definedName localSheetId="5" name="Data_2023_01_19_WinCalendar">'Página5'!$F$16</definedName>
    <definedName localSheetId="0" name="Data_2023_11_08_WinCalendar">'Modelo de Calendário 2026'!$E$65</definedName>
    <definedName localSheetId="5" name="Data_2023_02_17_WinCalendar">'Página5'!$O$16</definedName>
    <definedName localSheetId="4" name="Data_2023_07_31_WinCalendar">#REF!</definedName>
    <definedName localSheetId="0" name="Data_2023_05_15_WinCalendar">'Modelo de Calendário 2026'!$B$35</definedName>
    <definedName localSheetId="4" name="Data_2023_12_03_WinCalendar">'Cópia de Modelo de Calendário 2'!$J$66</definedName>
    <definedName localSheetId="0" name="Data_2023_10_05_WinCalendar">'Modelo de Calendário 2026'!$N$53</definedName>
    <definedName localSheetId="6" name="Data_2023_12_02_WinCalendar">'Cópia de Cópia de Modelo de Cal'!$P$65</definedName>
    <definedName localSheetId="4" name="Data_2023_04_20_WinCalendar">'Cópia de Modelo de Calendário 2'!$N$26</definedName>
    <definedName localSheetId="6" name="Data_2023_03_07_WinCalendar">'Cópia de Cópia de Modelo de Cal'!$D$24</definedName>
    <definedName localSheetId="0" name="Data_2023_08_21_WinCalendar">'Modelo de Calendário 2026'!$K$46</definedName>
    <definedName localSheetId="4" name="Data_2023_08_28_WinCalendar">'Cópia de Modelo de Calendário 2'!$K$48</definedName>
    <definedName localSheetId="6" name="Data_2023_03_31_WinCalendar">'Cópia de Cópia de Modelo de Cal'!$G$27</definedName>
    <definedName localSheetId="5" name="Data_2023_03_26_WinCalendar">'Página5'!$B$27</definedName>
    <definedName localSheetId="1" name="Data_2023_04_07_WinCalendar">'Modelo de Calendário 2025'!$O$24</definedName>
    <definedName localSheetId="0" name="Data_2023_06_11_WinCalendar">'Modelo de Calendário 2026'!$J$35</definedName>
    <definedName localSheetId="1" name="Data_2023_07_18_WinCalendar">'Modelo de Calendário 2025'!$D$47</definedName>
    <definedName localSheetId="0" name="Data_2023_09_30_WinCalendar">'Modelo de Calendário 2026'!$H$57</definedName>
    <definedName localSheetId="1" name="Data_2023_02_17_WinCalendar">'Modelo de Calendário 2025'!$O$16</definedName>
    <definedName localSheetId="1" name="Data_2023_08_13_WinCalendar">'Modelo de Calendário 2025'!$J$46</definedName>
    <definedName localSheetId="5" name="Data_2023_05_31_WinCalendar">'Página5'!$D$38</definedName>
    <definedName localSheetId="1" name="Data_2023_02_07_WinCalendar">'Modelo de Calendário 2025'!$L$15</definedName>
    <definedName localSheetId="5" name="Data_2023_08_05_WinCalendar">'Página5'!$P$44</definedName>
    <definedName localSheetId="4" name="Data_2023_03_16_WinCalendar">'Cópia de Modelo de Calendário 2'!$F$25</definedName>
    <definedName localSheetId="1" name="Data_2023_04_24_WinCalendar">'Modelo de Calendário 2025'!$K$27</definedName>
    <definedName localSheetId="4" name="Data_2023_06_01_WinCalendar">'Cópia de Modelo de Calendário 2'!$N$34</definedName>
    <definedName localSheetId="1" name="Data_2023_12_23_WinCalendar">'Modelo de Calendário 2025'!$P$68</definedName>
    <definedName localSheetId="1" name="Data_2023_10_18_WinCalendar">'Modelo de Calendário 2025'!$M$56</definedName>
    <definedName localSheetId="4" name="Data_2023_07_29_WinCalendar">'Cópia de Modelo de Calendário 2'!$H$48</definedName>
    <definedName localSheetId="4" name="Data_2023_05_21_WinCalendar">'Cópia de Modelo de Calendário 2'!$H$36</definedName>
    <definedName localSheetId="5" name="Data_2023_03_18_WinCalendar">'Página5'!$H$25</definedName>
    <definedName localSheetId="4" name="Data_2023_05_24_WinCalendar">'Cópia de Modelo de Calendário 2'!$D$37</definedName>
    <definedName localSheetId="6" name="Data_2023_09_27_WinCalendar">'Cópia de Cópia de Modelo de Cal'!$E$58</definedName>
    <definedName localSheetId="0" name="Data_2023_08_24_WinCalendar">'Modelo de Calendário 2026'!$N$46</definedName>
    <definedName localSheetId="1" name="Data_2023_06_02_WinCalendar">'Modelo de Calendário 2025'!$O$34</definedName>
    <definedName localSheetId="5" name="Data_2023_07_01_WinCalendar">'Página5'!$H$44</definedName>
    <definedName localSheetId="4" name="Data_2023_05_06_WinCalendar">'Cópia de Modelo de Calendário 2'!$G$34</definedName>
    <definedName localSheetId="6" name="Data_2023_08_29_WinCalendar">'Cópia de Cópia de Modelo de Cal'!$L$48</definedName>
    <definedName localSheetId="1" name="Data_2023_12_03_WinCalendar">'Modelo de Calendário 2025'!$J$66</definedName>
    <definedName localSheetId="6" name="Data_2023_04_16_WinCalendar">'Cópia de Cópia de Modelo de Cal'!$J$26</definedName>
    <definedName localSheetId="5" name="Data_2023_02_01_WinCalendar">'Página5'!$M$14</definedName>
    <definedName localSheetId="1" name="Data_2023_06_30_WinCalendar">#REF!</definedName>
    <definedName localSheetId="5" name="Data_2023_02_03_WinCalendar">'Página5'!$O$14</definedName>
    <definedName localSheetId="5" name="Data_2023_11_25_WinCalendar">'Página5'!$H$68</definedName>
    <definedName localSheetId="0" name="Data_2023_08_09_WinCalendar">'Modelo de Calendário 2026'!$M$44</definedName>
    <definedName localSheetId="4" name="Data_2023_12_24_WinCalendar">#REF!</definedName>
    <definedName localSheetId="4" name="Data_2023_08_13_WinCalendar">'Cópia de Modelo de Calendário 2'!$J$46</definedName>
    <definedName localSheetId="4" name="Data_2023_03_06_WinCalendar">'Cópia de Modelo de Calendário 2'!$C$24</definedName>
    <definedName localSheetId="1" name="Data_2023_01_25_WinCalendar">'Modelo de Calendário 2025'!$E$17</definedName>
    <definedName localSheetId="5" name="Data_2023_07_04_WinCalendar">'Página5'!$D$45</definedName>
    <definedName localSheetId="4" name="Data_2023_11_02_WinCalendar">'Cópia de Modelo de Calendário 2'!$F$65</definedName>
    <definedName localSheetId="6" name="Data_2023_08_04_WinCalendar">'Cópia de Cópia de Modelo de Cal'!$O$44</definedName>
    <definedName localSheetId="0" name="WinCalendar_Calendar_2">'Modelo de Calendário 2026'!$J$12:$P$20</definedName>
    <definedName localSheetId="0" name="Data_2023_01_05_WinCalendar">#REF!</definedName>
    <definedName localSheetId="4" name="Data_2023_03_14_WinCalendar">'Cópia de Modelo de Calendário 2'!$D$25</definedName>
    <definedName localSheetId="1" name="Data_2023_11_01_WinCalendar">'Modelo de Calendário 2025'!$E$65</definedName>
    <definedName localSheetId="5" name="Data_2023_09_25_WinCalendar">'Página5'!$C$58</definedName>
    <definedName localSheetId="6" name="Data_2023_10_25_WinCalendar">'Cópia de Cópia de Modelo de Cal'!$M$57</definedName>
    <definedName localSheetId="6" name="Data_2023_12_17_WinCalendar">'Cópia de Cópia de Modelo de Cal'!$J$68</definedName>
    <definedName localSheetId="0" name="Data_2023_01_31_WinCalendar">'Modelo de Calendário 2026'!$D$18</definedName>
    <definedName localSheetId="0" name="Data_2023_10_26_WinCalendar">'Modelo de Calendário 2026'!$N$56</definedName>
    <definedName localSheetId="0" name="Data_2023_02_17_WinCalendar">'Modelo de Calendário 2026'!$O$16</definedName>
    <definedName localSheetId="1" name="Data_2023_01_05_WinCalendar">'Modelo de Calendário 2025'!$F$14</definedName>
    <definedName localSheetId="5" name="Data_2023_01_27_WinCalendar">'Página5'!$G$17</definedName>
    <definedName localSheetId="1" name="Data_2023_02_04_WinCalendar">'Modelo de Calendário 2025'!$P$14</definedName>
    <definedName localSheetId="6" name="Data_2023_02_27_WinCalendar">'Cópia de Cópia de Modelo de Cal'!$K$18</definedName>
    <definedName localSheetId="5" name="Data_2023_04_22_WinCalendar">'Página5'!$P$26</definedName>
    <definedName localSheetId="1" name="Data_2023_03_31_WinCalendar">'Modelo de Calendário 2025'!$G$27</definedName>
    <definedName localSheetId="4" name="Data_2023_02_16_WinCalendar">'Cópia de Modelo de Calendário 2'!$N$16</definedName>
    <definedName localSheetId="5" name="Data_2023_06_04_WinCalendar">'Página5'!$J$35</definedName>
    <definedName localSheetId="4" name="Data_2023_07_19_WinCalendar">'Cópia de Modelo de Calendário 2'!$E$47</definedName>
    <definedName localSheetId="1" name="Data_2023_01_24_WinCalendar">'Modelo de Calendário 2025'!$D$17</definedName>
    <definedName localSheetId="6" name="Data_2023_12_28_WinCalendar">#REF!</definedName>
    <definedName localSheetId="0" name="Data_2023_12_27_WinCalendar">#REF!</definedName>
    <definedName localSheetId="1" name="Data_2023_05_12_WinCalendar">'Modelo de Calendário 2025'!$F$35</definedName>
    <definedName localSheetId="5" name="Data_2023_10_15_WinCalendar">'Página5'!$J$56</definedName>
    <definedName localSheetId="5" name="Data_2023_11_23_WinCalendar">'Página5'!$F$68</definedName>
    <definedName localSheetId="1" name="Data_2023_10_31_WinCalendar">'Modelo de Calendário 2025'!$L$58</definedName>
    <definedName localSheetId="6" name="Data_2023_09_25_WinCalendar">'Cópia de Cópia de Modelo de Cal'!$C$58</definedName>
    <definedName localSheetId="5" name="Data_2023_04_13_WinCalendar">'Página5'!$N$25</definedName>
    <definedName localSheetId="0" name="Data_2023_07_02_WinCalendar">#REF!</definedName>
    <definedName localSheetId="1" name="Data_2023_01_04_WinCalendar">#REF!</definedName>
    <definedName localSheetId="0" name="Data_2023_07_09_WinCalendar">'Modelo de Calendário 2026'!$B$45</definedName>
    <definedName localSheetId="1" name="Data_2023_02_12_WinCalendar">'Modelo de Calendário 2025'!$J$16</definedName>
    <definedName localSheetId="0" name="Data_2023_04_01_WinCalendar">'Modelo de Calendário 2026'!$P$23</definedName>
    <definedName localSheetId="0" name="Data_2023_04_12_WinCalendar">'Modelo de Calendário 2026'!$M$25</definedName>
    <definedName localSheetId="0" name="Data_2023_10_31_WinCalendar">'Modelo de Calendário 2026'!$L$57</definedName>
    <definedName localSheetId="0" name="Data_2023_10_12_WinCalendar">'Modelo de Calendário 2026'!$N$54</definedName>
    <definedName localSheetId="6" name="Data_2023_06_07_WinCalendar">'Cópia de Cópia de Modelo de Cal'!$M$35</definedName>
    <definedName localSheetId="0" name="Data_2023_05_21_WinCalendar">'Modelo de Calendário 2026'!$H$35</definedName>
    <definedName localSheetId="1" name="Data_2023_11_26_WinCalendar">'Modelo de Calendário 2025'!$B$69</definedName>
    <definedName localSheetId="6" name="Data_2023_01_23_WinCalendar">'Cópia de Cópia de Modelo de Cal'!$C$17</definedName>
    <definedName localSheetId="0" name="Data_2023_10_29_WinCalendar">'Modelo de Calendário 2026'!$J$57</definedName>
    <definedName localSheetId="5" name="Data_2023_10_09_WinCalendar">'Página5'!$K$55</definedName>
    <definedName localSheetId="0" name="Data_2023_11_20_WinCalendar">'Modelo de Calendário 2026'!$C$67</definedName>
    <definedName localSheetId="0" name="Data_2023_04_23_WinCalendar">'Modelo de Calendário 2026'!$J$27</definedName>
    <definedName localSheetId="6" name="Data_2023_04_02_WinCalendar">'Cópia de Cópia de Modelo de Cal'!$J$24</definedName>
    <definedName localSheetId="1" name="Data_2023_12_02_WinCalendar">'Modelo de Calendário 2025'!$P$65</definedName>
    <definedName localSheetId="6" name="Data_2023_09_07_WinCalendar">'Cópia de Cópia de Modelo de Cal'!$F$55</definedName>
    <definedName localSheetId="0" name="Data_2023_04_25_WinCalendar">'Modelo de Calendário 2026'!$L$27</definedName>
    <definedName localSheetId="5" name="Data_2023_08_25_WinCalendar">'Página5'!$O$47</definedName>
    <definedName localSheetId="6" name="Data_2023_04_11_WinCalendar">'Cópia de Cópia de Modelo de Cal'!$L$25</definedName>
    <definedName localSheetId="0" name="Data_2023_08_18_WinCalendar">'Modelo de Calendário 2026'!$O$45</definedName>
    <definedName localSheetId="6" name="Data_2023_03_24_WinCalendar">'Cópia de Cópia de Modelo de Cal'!$G$26</definedName>
    <definedName localSheetId="5" name="Data_2023_03_17_WinCalendar">'Página5'!$G$25</definedName>
    <definedName localSheetId="5" name="Data_2023_10_24_WinCalendar">'Página5'!$L$57</definedName>
    <definedName localSheetId="4" name="Data_2023_10_08_WinCalendar">'Cópia de Modelo de Calendário 2'!$J$55</definedName>
    <definedName localSheetId="6" name="Data_2023_06_01_WinCalendar">'Cópia de Cópia de Modelo de Cal'!$N$34</definedName>
    <definedName localSheetId="5" name="Data_2023_03_06_WinCalendar">'Página5'!$C$24</definedName>
    <definedName localSheetId="4" name="Data_2023_02_23_WinCalendar">'Cópia de Modelo de Calendário 2'!$N$17</definedName>
    <definedName localSheetId="6" name="Data_2023_06_27_WinCalendar">#REF!</definedName>
    <definedName localSheetId="4" name="Data_2023_12_11_WinCalendar">'Cópia de Modelo de Calendário 2'!$K$67</definedName>
    <definedName localSheetId="6" name="Data_2023_05_26_WinCalendar">'Cópia de Cópia de Modelo de Cal'!$F$37</definedName>
    <definedName localSheetId="0" name="Data_2023_04_13_WinCalendar">'Modelo de Calendário 2026'!$N$25</definedName>
    <definedName localSheetId="1" name="Data_2023_09_15_WinCalendar">'Modelo de Calendário 2025'!$G$56</definedName>
    <definedName localSheetId="6" name="Data_2023_10_07_WinCalendar">'Cópia de Cópia de Modelo de Cal'!$P$54</definedName>
    <definedName localSheetId="6" name="Data_2023_08_08_WinCalendar">'Cópia de Cópia de Modelo de Cal'!$L$45</definedName>
    <definedName localSheetId="0" name="Data_2023_11_24_WinCalendar">'Modelo de Calendário 2026'!$G$67</definedName>
    <definedName localSheetId="1" name="Data_2023_12_12_WinCalendar">'Modelo de Calendário 2025'!$L$67</definedName>
    <definedName localSheetId="4" name="Data_2023_07_22_WinCalendar">'Cópia de Modelo de Calendário 2'!$H$47</definedName>
    <definedName localSheetId="5" name="Data_2023_02_02_WinCalendar">'Página5'!$N$14</definedName>
    <definedName localSheetId="4" name="Data_2023_04_28_WinCalendar">'Cópia de Modelo de Calendário 2'!$O$27</definedName>
    <definedName localSheetId="1" name="Data_2023_09_13_WinCalendar">'Modelo de Calendário 2025'!$E$56</definedName>
    <definedName localSheetId="6" name="WinCalendar_Calendar_7">'Cópia de Cópia de Modelo de Cal'!$B$42:$H$51</definedName>
    <definedName localSheetId="4" name="Data_2023_09_17_WinCalendar">'Cópia de Modelo de Calendário 2'!$B$57</definedName>
    <definedName localSheetId="5" name="Data_2023_05_27_WinCalendar">'Página5'!$G$37</definedName>
    <definedName localSheetId="1" name="Data_2023_12_28_WinCalendar">#REF!</definedName>
    <definedName localSheetId="5" name="Data_2023_09_24_WinCalendar">'Página5'!$B$58</definedName>
    <definedName localSheetId="6" name="Data_2023_06_30_WinCalendar">#REF!</definedName>
    <definedName localSheetId="4" name="Data_2023_02_20_WinCalendar">'Cópia de Modelo de Calendário 2'!$K$17</definedName>
    <definedName localSheetId="4" name="Data_2023_08_30_WinCalendar">'Cópia de Modelo de Calendário 2'!$M$48</definedName>
    <definedName localSheetId="0" name="WinCalendar_Calendar_12">'Modelo de Calendário 2026'!$J$62:$P$70</definedName>
    <definedName localSheetId="6" name="Data_2023_09_30_WinCalendar">'Cópia de Cópia de Modelo de Cal'!$H$58</definedName>
    <definedName localSheetId="1" name="Data_2023_09_11_WinCalendar">'Modelo de Calendário 2025'!$C$56</definedName>
    <definedName localSheetId="0" name="Data_2023_05_16_WinCalendar">'Modelo de Calendário 2026'!$C$35</definedName>
    <definedName localSheetId="5" name="Data_2023_12_30_WinCalendar">#REF!</definedName>
    <definedName localSheetId="0" name="Data_2023_03_08_WinCalendar">'Modelo de Calendário 2026'!$E$24</definedName>
    <definedName localSheetId="0" name="Data_2023_07_27_WinCalendar">'Modelo de Calendário 2026'!$F$47</definedName>
    <definedName localSheetId="1" name="Data_2023_11_09_WinCalendar">'Modelo de Calendário 2025'!$F$66</definedName>
    <definedName localSheetId="5" name="Data_2023_01_22_WinCalendar">'Página5'!$B$17</definedName>
    <definedName localSheetId="6" name="Data_2023_10_26_WinCalendar">'Cópia de Cópia de Modelo de Cal'!$N$57</definedName>
    <definedName localSheetId="6" name="Data_2023_12_14_WinCalendar">'Cópia de Cópia de Modelo de Cal'!$N$67</definedName>
    <definedName localSheetId="0" name="Data_2023_12_14_WinCalendar">'Modelo de Calendário 2026'!$N$66</definedName>
    <definedName localSheetId="5" name="Data_2023_06_22_WinCalendar">'Página5'!$N$37</definedName>
    <definedName localSheetId="4" name="Data_2023_04_27_WinCalendar">'Cópia de Modelo de Calendário 2'!$N$27</definedName>
    <definedName localSheetId="6" name="Data_2023_12_04_WinCalendar">'Cópia de Cópia de Modelo de Cal'!$K$66</definedName>
    <definedName localSheetId="1" name="Data_2023_12_31_WinCalendar">'Modelo de Calendário 2025'!$J$69</definedName>
    <definedName localSheetId="1" name="Data_2023_01_23_WinCalendar">'Modelo de Calendário 2025'!$C$17</definedName>
    <definedName localSheetId="4" name="Data_2023_04_10_WinCalendar">'Cópia de Modelo de Calendário 2'!$K$25</definedName>
    <definedName localSheetId="1" name="Data_2023_12_27_WinCalendar">#REF!</definedName>
    <definedName localSheetId="6" name="Data_2023_04_29_WinCalendar">'Cópia de Cópia de Modelo de Cal'!$P$27</definedName>
    <definedName localSheetId="6" name="Data_2023_07_11_WinCalendar">'Cópia de Cópia de Modelo de Cal'!$D$46</definedName>
    <definedName localSheetId="6" name="Data_2023_09_28_WinCalendar">'Cópia de Cópia de Modelo de Cal'!$F$58</definedName>
    <definedName localSheetId="5" name="Data_2023_08_21_WinCalendar">'Página5'!$K$47</definedName>
    <definedName localSheetId="6" name="Data_2023_07_01_WinCalendar">'Cópia de Cópia de Modelo de Cal'!$H$44</definedName>
    <definedName localSheetId="4" name="Data_2023_11_20_WinCalendar">'Cópia de Modelo de Calendário 2'!$C$68</definedName>
    <definedName localSheetId="5" name="Data_2023_01_03_WinCalendar">'Página5'!$D$14</definedName>
    <definedName localSheetId="1" name="Data_2023_10_03_WinCalendar">'Modelo de Calendário 2025'!$L$54</definedName>
    <definedName localSheetId="5" name="Data_2023_10_22_WinCalendar">'Página5'!$J$57</definedName>
    <definedName localSheetId="0" name="Data_2023_04_09_WinCalendar">'Modelo de Calendário 2026'!$J$25</definedName>
    <definedName localSheetId="6" name="Data_2023_09_23_WinCalendar">'Cópia de Cópia de Modelo de Cal'!$H$57</definedName>
    <definedName localSheetId="6" name="Data_2023_12_22_WinCalendar">'Cópia de Cópia de Modelo de Cal'!$O$68</definedName>
    <definedName localSheetId="1" name="WinCalendar_Calendar_9">'Modelo de Calendário 2025'!$B$52:$H$62</definedName>
    <definedName localSheetId="5" name="Data_2023_09_10_WinCalendar">'Página5'!$B$56</definedName>
    <definedName localSheetId="5" name="Data_2023_02_08_WinCalendar">'Página5'!$M$15</definedName>
    <definedName localSheetId="5" name="Data_2023_11_26_WinCalendar">'Página5'!$B$69</definedName>
    <definedName localSheetId="4" name="Data_2023_08_18_WinCalendar">'Cópia de Modelo de Calendário 2'!$O$46</definedName>
    <definedName localSheetId="1" name="Data_2023_12_26_WinCalendar">#REF!</definedName>
    <definedName localSheetId="1" name="Data_2023_08_05_WinCalendar">'Modelo de Calendário 2025'!$P$44</definedName>
    <definedName localSheetId="1" name="Data_2023_09_02_WinCalendar">'Modelo de Calendário 2025'!$H$54</definedName>
    <definedName localSheetId="5" name="Data_2023_08_02_WinCalendar">'Página5'!$M$44</definedName>
    <definedName localSheetId="6" name="Data_2023_11_04_WinCalendar">'Cópia de Cópia de Modelo de Cal'!$H$65</definedName>
    <definedName localSheetId="5" name="Data_2023_03_13_WinCalendar">'Página5'!$C$25</definedName>
    <definedName localSheetId="4" name="Data_2023_10_13_WinCalendar">'Cópia de Modelo de Calendário 2'!$O$55</definedName>
    <definedName localSheetId="6" name="Data_2023_03_08_WinCalendar">'Cópia de Cópia de Modelo de Cal'!$E$24</definedName>
    <definedName localSheetId="4" name="Data_2023_09_05_WinCalendar">'Cópia de Modelo de Calendário 2'!$D$55</definedName>
    <definedName localSheetId="1" name="Data_2023_04_29_WinCalendar">'Modelo de Calendário 2025'!$P$27</definedName>
    <definedName localSheetId="5" name="Data_2023_10_10_WinCalendar">'Página5'!$L$55</definedName>
    <definedName localSheetId="1" name="Data_2023_06_13_WinCalendar">'Modelo de Calendário 2025'!$L$36</definedName>
    <definedName localSheetId="4" name="Data_2023_10_21_WinCalendar">'Cópia de Modelo de Calendário 2'!$P$56</definedName>
    <definedName localSheetId="1" name="Data_2023_10_26_WinCalendar">'Modelo de Calendário 2025'!$N$57</definedName>
    <definedName localSheetId="1" name="Data_2023_09_25_WinCalendar">'Modelo de Calendário 2025'!$C$58</definedName>
    <definedName localSheetId="5" name="Data_2023_05_15_WinCalendar">'Página5'!$B$36</definedName>
    <definedName localSheetId="0" name="Data_2023_07_28_WinCalendar">'Modelo de Calendário 2026'!$G$47</definedName>
    <definedName localSheetId="6" name="Data_2023_06_23_WinCalendar">'Cópia de Cópia de Modelo de Cal'!$O$37</definedName>
    <definedName localSheetId="0" name="Data_2023_05_26_WinCalendar">'Modelo de Calendário 2026'!$F$36</definedName>
    <definedName localSheetId="5" name="Data_2023_04_10_WinCalendar">'Página5'!$K$25</definedName>
    <definedName localSheetId="5" name="Data_2023_03_08_WinCalendar">'Página5'!$E$24</definedName>
    <definedName localSheetId="1" name="Data_2023_08_04_WinCalendar">'Modelo de Calendário 2025'!$O$44</definedName>
    <definedName localSheetId="4" name="Data_2023_06_06_WinCalendar">'Cópia de Modelo de Calendário 2'!$L$35</definedName>
    <definedName localSheetId="4" name="Data_2023_01_11_WinCalendar">'Cópia de Modelo de Calendário 2'!$E$15</definedName>
    <definedName localSheetId="1" name="Data_2023_03_12_WinCalendar">'Modelo de Calendário 2025'!$B$25</definedName>
    <definedName localSheetId="5" name="Data_2023_05_02_WinCalendar">'Página5'!$D$34</definedName>
    <definedName localSheetId="0" name="Data_2023_09_22_WinCalendar">'Modelo de Calendário 2026'!$G$56</definedName>
    <definedName localSheetId="0" name="Data_2023_01_14_WinCalendar">'Modelo de Calendário 2026'!$H$15</definedName>
    <definedName localSheetId="1" name="Data_2023_06_21_WinCalendar">'Modelo de Calendário 2025'!$M$37</definedName>
    <definedName localSheetId="1" name="Data_2023_10_12_WinCalendar">'Modelo de Calendário 2025'!$N$55</definedName>
    <definedName localSheetId="0" name="Data_2023_08_22_WinCalendar">'Modelo de Calendário 2026'!$L$46</definedName>
    <definedName localSheetId="6" name="Data_2023_01_08_WinCalendar">'Cópia de Cópia de Modelo de Cal'!$B$15</definedName>
    <definedName localSheetId="0" name="Data_2023_04_15_WinCalendar">'Modelo de Calendário 2026'!$P$25</definedName>
    <definedName localSheetId="0" name="Data_2023_08_30_WinCalendar">'Modelo de Calendário 2026'!$M$47</definedName>
    <definedName localSheetId="5" name="Data_2023_11_22_WinCalendar">'Página5'!$E$68</definedName>
    <definedName localSheetId="5" name="Data_2023_03_19_WinCalendar">'Página5'!$B$26</definedName>
    <definedName localSheetId="0" name="Data_2023_11_10_WinCalendar">'Modelo de Calendário 2026'!$G$65</definedName>
  </definedNames>
  <calcPr/>
  <extLst>
    <ext uri="GoogleSheetsCustomDataVersion2">
      <go:sheetsCustomData xmlns:go="http://customooxmlschemas.google.com/" r:id="rId11" roundtripDataChecksum="XPJFBU9qvHuM1MUG3/9ldSf75ehUFja+GXBHUnMVlCg="/>
    </ext>
  </extLst>
</workbook>
</file>

<file path=xl/sharedStrings.xml><?xml version="1.0" encoding="utf-8"?>
<sst xmlns="http://schemas.openxmlformats.org/spreadsheetml/2006/main" count="1017" uniqueCount="129">
  <si>
    <t>Janeiro 2026</t>
  </si>
  <si>
    <t>Fevereiro 2026</t>
  </si>
  <si>
    <t>LEGENDA :</t>
  </si>
  <si>
    <t>Dom</t>
  </si>
  <si>
    <t>Seg</t>
  </si>
  <si>
    <t>Ter</t>
  </si>
  <si>
    <t>Qua</t>
  </si>
  <si>
    <t>Qui</t>
  </si>
  <si>
    <t>Sex</t>
  </si>
  <si>
    <t>Sáb</t>
  </si>
  <si>
    <t xml:space="preserve">RECESSO COLETIVO </t>
  </si>
  <si>
    <t xml:space="preserve"> TEORIA NA ENTIDADE 4h10min/DIA (5 aulas/dia)</t>
  </si>
  <si>
    <t>30h</t>
  </si>
  <si>
    <t>DOM / SÁB / FERIADOS</t>
  </si>
  <si>
    <t xml:space="preserve"> TEORIA NA ENTIDADE 3h20min/DIA (4 aulas/dia)</t>
  </si>
  <si>
    <t>ÍNICIO E FINAL DE CONTRATO</t>
  </si>
  <si>
    <t xml:space="preserve"> TEORIA NA ENTIDADE 2h30min/DIA (3 aulas/dia)</t>
  </si>
  <si>
    <t>Teoria:</t>
  </si>
  <si>
    <t xml:space="preserve">Prática: </t>
  </si>
  <si>
    <t xml:space="preserve">SÁBADOS LETIVOS </t>
  </si>
  <si>
    <t xml:space="preserve"> TEORIA NA ENTIDADE 1h40min/DIA (2 aulas/dia)</t>
  </si>
  <si>
    <t>Março 2026</t>
  </si>
  <si>
    <t>Abril 2026</t>
  </si>
  <si>
    <t xml:space="preserve"> TEORIA NA ENTIDADE X H/DIA</t>
  </si>
  <si>
    <t>TEORIA NA ENTIDADE 2h30/DIA E PRÁTICA NA EMPRESA 4H/DIA</t>
  </si>
  <si>
    <t>TEORIA NA ENTIDADE 1h40/DIA E PRÁTICA NA EMPRESA 4H/DIA</t>
  </si>
  <si>
    <t>TEORIA NA ENTIDADE X H/DIA E PRÁTICA NA EMPRESA XH/DIA</t>
  </si>
  <si>
    <t xml:space="preserve">TEORIA: </t>
  </si>
  <si>
    <t>Maio 2026</t>
  </si>
  <si>
    <t>Junho 2026</t>
  </si>
  <si>
    <t xml:space="preserve">PRÁTICA: </t>
  </si>
  <si>
    <t xml:space="preserve">TOTAL GERAL: </t>
  </si>
  <si>
    <t>A fórmula utilizada para Teoria e Prática em cada mês</t>
  </si>
  <si>
    <r>
      <rPr>
        <rFont val="Montserrat"/>
        <b/>
        <color theme="1"/>
        <sz val="12.0"/>
      </rPr>
      <t xml:space="preserve">Fórmula: </t>
    </r>
    <r>
      <rPr>
        <rFont val="Montserrat"/>
        <color theme="1"/>
        <sz val="12.0"/>
      </rPr>
      <t>="horas"*dias+"horas"*dias</t>
    </r>
  </si>
  <si>
    <r>
      <rPr>
        <rFont val="Montserrat"/>
        <b/>
        <color theme="1"/>
        <sz val="12.0"/>
      </rPr>
      <t>Exemplo:</t>
    </r>
    <r>
      <rPr>
        <rFont val="Montserrat"/>
        <color theme="1"/>
        <sz val="12.0"/>
      </rPr>
      <t xml:space="preserve"> ="1:40"*12</t>
    </r>
  </si>
  <si>
    <t>Julho 2026</t>
  </si>
  <si>
    <t>Agosto 2026</t>
  </si>
  <si>
    <t>Pontos importantes para considerar na elaboração do CALENDÁRIO</t>
  </si>
  <si>
    <r>
      <rPr>
        <rFont val="Montserrat"/>
        <b/>
        <color theme="1"/>
        <sz val="11.0"/>
      </rPr>
      <t>1.</t>
    </r>
    <r>
      <rPr>
        <rFont val="Montserrat"/>
        <color theme="1"/>
        <sz val="11.0"/>
      </rPr>
      <t xml:space="preserve"> Inicie o processo se baseando no  que consta na grade horária</t>
    </r>
  </si>
  <si>
    <r>
      <rPr>
        <rFont val="Montserrat"/>
        <b/>
        <color theme="1"/>
        <sz val="11.0"/>
      </rPr>
      <t>2.</t>
    </r>
    <r>
      <rPr>
        <rFont val="Montserrat"/>
        <color theme="1"/>
        <sz val="11.0"/>
      </rPr>
      <t xml:space="preserve"> A carga horária semanal será definida de acordo com o que consta no contrato aprendizado celebrado entre a empresa e o aprendiz</t>
    </r>
  </si>
  <si>
    <r>
      <rPr>
        <rFont val="Montserrat"/>
        <b/>
        <color theme="1"/>
        <sz val="11.0"/>
      </rPr>
      <t xml:space="preserve">3. </t>
    </r>
    <r>
      <rPr>
        <rFont val="Montserrat"/>
        <color theme="1"/>
        <sz val="11.0"/>
      </rPr>
      <t>Carga horária total diária de teoria + prática pode ser no máximo 8 horas, ou, somente, 6 horas de prática</t>
    </r>
  </si>
  <si>
    <r>
      <rPr>
        <rFont val="Montserrat"/>
        <b/>
        <color theme="1"/>
        <sz val="11.0"/>
      </rPr>
      <t xml:space="preserve">4. </t>
    </r>
    <r>
      <rPr>
        <rFont val="Montserrat"/>
        <color theme="1"/>
        <sz val="11.0"/>
      </rPr>
      <t>A carga horária prática não pode ser concluída antes carga horária teórica. Deve ser concluída de forma concomitante ou depois de finalizada a teórica.</t>
    </r>
  </si>
  <si>
    <r>
      <rPr>
        <rFont val="Montserrat"/>
        <b/>
        <color theme="1"/>
        <sz val="11.0"/>
      </rPr>
      <t xml:space="preserve">5. </t>
    </r>
    <r>
      <rPr>
        <rFont val="Montserrat"/>
        <color theme="1"/>
        <sz val="11.0"/>
      </rPr>
      <t xml:space="preserve">A distribuição da carga horária semanal deve, preferencialmente, ser igual durante todas as semanas do mês.
Porém, para garantir que a apendizagem profissional cumpra os pontos 2, 3 e 4, nem sempre as semanas ou meses  terão a mesma carga horária prática e/ou teórica.
</t>
    </r>
    <r>
      <rPr>
        <rFont val="Montserrat"/>
        <b/>
        <color theme="1"/>
        <sz val="11.0"/>
      </rPr>
      <t xml:space="preserve">Exemplo: </t>
    </r>
    <r>
      <rPr>
        <rFont val="Montserrat"/>
        <color theme="1"/>
        <sz val="11.0"/>
      </rPr>
      <t xml:space="preserve"> o calendário pode ser iniciado somente com a parte teórica da aprendizagem profissional e, no mês seguinte, passar a incluir também a parte prática.</t>
    </r>
  </si>
  <si>
    <t>Setembro 2026</t>
  </si>
  <si>
    <t>Outubro 2026</t>
  </si>
  <si>
    <r>
      <rPr>
        <rFont val="Montserrat"/>
        <b/>
        <color theme="1"/>
        <sz val="11.0"/>
      </rPr>
      <t xml:space="preserve">6. </t>
    </r>
    <r>
      <rPr>
        <rFont val="Montserrat"/>
        <color theme="1"/>
        <sz val="11.0"/>
      </rPr>
      <t xml:space="preserve">Caso seja necessário acrescentar horas “quebradas” para cumprir a carga horária total no calendário, prever essas horas ao final do contrato de aprendizagem (últimos meses do calendário de aprendizagem). 
</t>
    </r>
    <r>
      <rPr>
        <rFont val="Montserrat"/>
        <b/>
        <i/>
        <color theme="1"/>
        <sz val="11.0"/>
      </rPr>
      <t xml:space="preserve">Exemplo: </t>
    </r>
    <r>
      <rPr>
        <rFont val="Montserrat"/>
        <i/>
        <color theme="1"/>
        <sz val="11.0"/>
      </rPr>
      <t>o aprendiz precisa, ainda, cumprir 2h37 de prática para fechar a carga horária contratualmente prevista. Essa carga horária será cumprida nos últimos dias de contrato.</t>
    </r>
  </si>
  <si>
    <t>Novembro 2026</t>
  </si>
  <si>
    <t>Dezembro 2026</t>
  </si>
  <si>
    <t>Janeiro 2025</t>
  </si>
  <si>
    <t>Fevereiro 2025</t>
  </si>
  <si>
    <t>Março 2025</t>
  </si>
  <si>
    <t>Abril 2025</t>
  </si>
  <si>
    <t>PRÁTICA 6HRS</t>
  </si>
  <si>
    <t>Maio 2025</t>
  </si>
  <si>
    <t>Junho 2025</t>
  </si>
  <si>
    <r>
      <rPr>
        <rFont val="Montserrat"/>
        <b/>
        <color theme="1"/>
        <sz val="12.0"/>
      </rPr>
      <t xml:space="preserve">Fórmula: </t>
    </r>
    <r>
      <rPr>
        <rFont val="Montserrat"/>
        <color theme="1"/>
        <sz val="12.0"/>
      </rPr>
      <t>="horas"*dias+"horas"*dias</t>
    </r>
  </si>
  <si>
    <r>
      <rPr>
        <rFont val="Montserrat"/>
        <b/>
        <color theme="1"/>
        <sz val="12.0"/>
      </rPr>
      <t>Exemplo:</t>
    </r>
    <r>
      <rPr>
        <rFont val="Montserrat"/>
        <color theme="1"/>
        <sz val="12.0"/>
      </rPr>
      <t xml:space="preserve"> ="1:40"*12</t>
    </r>
  </si>
  <si>
    <t>Julho 2025</t>
  </si>
  <si>
    <t>Agosto 2025</t>
  </si>
  <si>
    <r>
      <rPr>
        <rFont val="Montserrat"/>
        <b/>
        <color theme="1"/>
        <sz val="11.0"/>
      </rPr>
      <t>1.</t>
    </r>
    <r>
      <rPr>
        <rFont val="Montserrat"/>
        <color theme="1"/>
        <sz val="11.0"/>
      </rPr>
      <t xml:space="preserve"> Inicie o processo se baseando no  que consta na grade horária</t>
    </r>
  </si>
  <si>
    <r>
      <rPr>
        <rFont val="Montserrat"/>
        <b/>
        <color theme="1"/>
        <sz val="11.0"/>
      </rPr>
      <t>2.</t>
    </r>
    <r>
      <rPr>
        <rFont val="Montserrat"/>
        <color theme="1"/>
        <sz val="11.0"/>
      </rPr>
      <t xml:space="preserve"> A carga horária semanal será definida de acordo com o que consta no contrato aprendizado celebrado entre a empresa e o aprendiz</t>
    </r>
  </si>
  <si>
    <r>
      <rPr>
        <rFont val="Montserrat"/>
        <b/>
        <color theme="1"/>
        <sz val="11.0"/>
      </rPr>
      <t xml:space="preserve">3. </t>
    </r>
    <r>
      <rPr>
        <rFont val="Montserrat"/>
        <color theme="1"/>
        <sz val="11.0"/>
      </rPr>
      <t>Carga horária total diária de teoria + prática pode ser no máximo 8 horas, ou, somente, 6 horas de prática</t>
    </r>
  </si>
  <si>
    <r>
      <rPr>
        <rFont val="Montserrat"/>
        <b/>
        <color theme="1"/>
        <sz val="11.0"/>
      </rPr>
      <t xml:space="preserve">4. </t>
    </r>
    <r>
      <rPr>
        <rFont val="Montserrat"/>
        <color theme="1"/>
        <sz val="11.0"/>
      </rPr>
      <t>A carga horária prática não pode ser concluída antes carga horária teórica. Deve ser concluída de forma concomitante ou depois de finalizada a teórica.</t>
    </r>
  </si>
  <si>
    <r>
      <rPr>
        <rFont val="Montserrat"/>
        <b/>
        <color theme="1"/>
        <sz val="11.0"/>
      </rPr>
      <t xml:space="preserve">5. </t>
    </r>
    <r>
      <rPr>
        <rFont val="Montserrat"/>
        <color theme="1"/>
        <sz val="11.0"/>
      </rPr>
      <t xml:space="preserve">A distribuição da carga horária semanal deve, preferencialmente, ser igual durante todas as semanas do mês.
Porém, para garantir que a apendizagem profissional cumpra os pontos 2, 3 e 4, nem sempre as semanas ou meses  terão a mesma carga horária prática e/ou teórica.
</t>
    </r>
    <r>
      <rPr>
        <rFont val="Montserrat"/>
        <b/>
        <color theme="1"/>
        <sz val="11.0"/>
      </rPr>
      <t xml:space="preserve">Exemplo: </t>
    </r>
    <r>
      <rPr>
        <rFont val="Montserrat"/>
        <color theme="1"/>
        <sz val="11.0"/>
      </rPr>
      <t xml:space="preserve"> o calendário pode ser iniciado somente com a parte teórica da aprendizagem profissional e, no mês seguinte, passar a incluir também a parte prática.</t>
    </r>
  </si>
  <si>
    <t>Setembro 2025</t>
  </si>
  <si>
    <t>Outubro 2025</t>
  </si>
  <si>
    <r>
      <rPr>
        <rFont val="Montserrat"/>
        <b/>
        <color theme="1"/>
        <sz val="11.0"/>
      </rPr>
      <t xml:space="preserve">6. </t>
    </r>
    <r>
      <rPr>
        <rFont val="Montserrat"/>
        <color theme="1"/>
        <sz val="11.0"/>
      </rPr>
      <t xml:space="preserve">Caso seja necessário acrescentar horas “quebradas” para cumprir a carga horária total no calendário, prever essas horas ao final do contrato de aprendizagem (últimos meses do calendário de aprendizagem). 
</t>
    </r>
    <r>
      <rPr>
        <rFont val="Montserrat"/>
        <b/>
        <i/>
        <color theme="1"/>
        <sz val="11.0"/>
      </rPr>
      <t xml:space="preserve">Exemplo: </t>
    </r>
    <r>
      <rPr>
        <rFont val="Montserrat"/>
        <i/>
        <color theme="1"/>
        <sz val="11.0"/>
      </rPr>
      <t>o aprendiz precisa, ainda, cumprir 2h37 de prática para fechar a carga horária contratualmente prevista. Essa carga horária será cumprida nos últimos dias de contrato.</t>
    </r>
  </si>
  <si>
    <t>Novembro 2025</t>
  </si>
  <si>
    <t>Dezembro 2025</t>
  </si>
  <si>
    <t>Curso Técnico Integrado Parcial de Administração | 800h</t>
  </si>
  <si>
    <t>Fevereiro 2024</t>
  </si>
  <si>
    <t>Março 2024</t>
  </si>
  <si>
    <t>Abril 2024</t>
  </si>
  <si>
    <t xml:space="preserve"> TEORIA NA ENTIDADE 5h/DIA (6 aulas/dia)</t>
  </si>
  <si>
    <t>TEORIA NA ENTIDADE 1h40min/DIA (2 aula/dia) E PRÁTICA NA EMPRESA 4h/DIA</t>
  </si>
  <si>
    <t xml:space="preserve"> PRÁTICA NA EMPRESA  4h24min/DIA</t>
  </si>
  <si>
    <t>Maio 2024</t>
  </si>
  <si>
    <t>Junho 2024</t>
  </si>
  <si>
    <t xml:space="preserve"> PRÁTICA NA EMPRESA  2h24min/DIA</t>
  </si>
  <si>
    <t>OBSERVAÇÕES:</t>
  </si>
  <si>
    <t>1. Está sendo considerado 22 horas semanais totais</t>
  </si>
  <si>
    <t>2. Está iniciando só com a teoria para que feche a carga horária sem finalizar a prática antes da teoria.</t>
  </si>
  <si>
    <t>3. Em  fevereiro as horas semanais estão fechando 21h40, pois não há como fechar aulas inteira para chegar a 22h</t>
  </si>
  <si>
    <t>4. Inicio de contrato está sendo contabilizado como:   TEORIA NA ENTIDADE 4h10min/DIA (5 aulas/dia)</t>
  </si>
  <si>
    <t>5. Final de contrato está sendo contabilizado como:  TEORIA NA ENTIDADE 1h40min/DIA (2 aula/dia) E PRÁTICA NA EMPRESA 4h/DIA</t>
  </si>
  <si>
    <t>Julho 2024</t>
  </si>
  <si>
    <t>Agosto 2024</t>
  </si>
  <si>
    <t>(Recesso na escola)</t>
  </si>
  <si>
    <t>Setembro 2024</t>
  </si>
  <si>
    <t>Outubro 2024</t>
  </si>
  <si>
    <t>Novembro 2024</t>
  </si>
  <si>
    <t>Dezembro 2024</t>
  </si>
  <si>
    <t>Curso Técnico Integrado Parcial de Edificações| 1200h</t>
  </si>
  <si>
    <t xml:space="preserve"> TEORIA NA ENTIDADE 2h30min/DIA (3 aulas/dia) e PRÁTICA NA EMPRESA 4h/DIA</t>
  </si>
  <si>
    <t xml:space="preserve"> PRÁTICA NA EMPRESA  6h/DIA</t>
  </si>
  <si>
    <t xml:space="preserve"> PRÁTICA NA EMPRESA  5h/DIA</t>
  </si>
  <si>
    <t>1. Está sendo considerado 30 horas semanais totais</t>
  </si>
  <si>
    <t>3. Em  fevereiro as horas semanais estão fechando 25h, não há como chegar em 30h, pois ultrapassaria a quantidade de aulas que o(a) aprendiz tem por dia</t>
  </si>
  <si>
    <t>5. Final de contrato está sendo contabilizado como:   PRÁTICA NA EMPRESA  2h/DIA, para fechar a carga horária</t>
  </si>
  <si>
    <t>6. No ultimo mês não está fechando 30h semanais, pois o(a) aprendiz continuará tendo aula, com isso, ele(a) não conseguirá comparecer mais horas na empresa</t>
  </si>
  <si>
    <t xml:space="preserve"> [início de contrato] TEORIA NA ENTIDADE 4h10min/DIA (5 aulas/dia)</t>
  </si>
  <si>
    <r>
      <rPr>
        <rFont val="Montserrat"/>
        <b/>
        <color theme="1"/>
        <sz val="12.0"/>
      </rPr>
      <t xml:space="preserve">Fórmula: </t>
    </r>
    <r>
      <rPr>
        <rFont val="Montserrat"/>
        <color theme="1"/>
        <sz val="12.0"/>
      </rPr>
      <t>="horas"*dias+"horas"*dias</t>
    </r>
  </si>
  <si>
    <r>
      <rPr>
        <rFont val="Montserrat"/>
        <b/>
        <color theme="1"/>
        <sz val="12.0"/>
      </rPr>
      <t>Exemplo:</t>
    </r>
    <r>
      <rPr>
        <rFont val="Montserrat"/>
        <color theme="1"/>
        <sz val="12.0"/>
      </rPr>
      <t xml:space="preserve"> ="1:40"*12</t>
    </r>
  </si>
  <si>
    <r>
      <rPr>
        <rFont val="Montserrat"/>
        <b/>
        <color theme="1"/>
        <sz val="11.0"/>
      </rPr>
      <t>1.</t>
    </r>
    <r>
      <rPr>
        <rFont val="Montserrat"/>
        <color theme="1"/>
        <sz val="11.0"/>
      </rPr>
      <t xml:space="preserve"> Inicie o processo se baseando no  que consta na grade horária</t>
    </r>
  </si>
  <si>
    <r>
      <rPr>
        <rFont val="Montserrat"/>
        <b/>
        <color theme="1"/>
        <sz val="11.0"/>
      </rPr>
      <t>2.</t>
    </r>
    <r>
      <rPr>
        <rFont val="Montserrat"/>
        <color theme="1"/>
        <sz val="11.0"/>
      </rPr>
      <t xml:space="preserve"> A carga horária semanal será definida de acordo com o que consta no contrato aprendizado celebrado entre a empresa e o aprendiz</t>
    </r>
  </si>
  <si>
    <r>
      <rPr>
        <rFont val="Montserrat"/>
        <b/>
        <color theme="1"/>
        <sz val="11.0"/>
      </rPr>
      <t xml:space="preserve">3. </t>
    </r>
    <r>
      <rPr>
        <rFont val="Montserrat"/>
        <color theme="1"/>
        <sz val="11.0"/>
      </rPr>
      <t>Carga horária total diária de teoria + prática pode ser no máximo 8 horas, ou, somente, 6 horas de prática</t>
    </r>
  </si>
  <si>
    <r>
      <rPr>
        <rFont val="Montserrat"/>
        <b/>
        <color theme="1"/>
        <sz val="11.0"/>
      </rPr>
      <t xml:space="preserve">4. </t>
    </r>
    <r>
      <rPr>
        <rFont val="Montserrat"/>
        <color theme="1"/>
        <sz val="11.0"/>
      </rPr>
      <t>A carga horária prática não pode ser concluída antes carga horária teórica. Deve ser concluída de forma concomitante ou depois de finalizada a teórica.</t>
    </r>
  </si>
  <si>
    <r>
      <rPr>
        <rFont val="Montserrat"/>
        <b/>
        <color theme="1"/>
        <sz val="11.0"/>
      </rPr>
      <t xml:space="preserve">5. </t>
    </r>
    <r>
      <rPr>
        <rFont val="Montserrat"/>
        <color theme="1"/>
        <sz val="11.0"/>
      </rPr>
      <t xml:space="preserve">A distribuição da carga horária semanal deve, preferencialmente, ser igual durante todas as semanas do mês.
Porém, para garantir que a apendizagem profissional cumpra os pontos 2, 3 e 4, nem sempre as semanas ou meses  terão a mesma carga horária prática e/ou teórica.
</t>
    </r>
    <r>
      <rPr>
        <rFont val="Montserrat"/>
        <b/>
        <color theme="1"/>
        <sz val="11.0"/>
      </rPr>
      <t xml:space="preserve">Exemplo: </t>
    </r>
    <r>
      <rPr>
        <rFont val="Montserrat"/>
        <color theme="1"/>
        <sz val="11.0"/>
      </rPr>
      <t xml:space="preserve"> o calendário pode ser iniciado somente com a parte teórica da aprendizagem profissional e, no mês seguinte, passar a incluir também a parte prática.</t>
    </r>
  </si>
  <si>
    <r>
      <rPr>
        <rFont val="Montserrat"/>
        <b/>
        <color theme="1"/>
        <sz val="11.0"/>
      </rPr>
      <t xml:space="preserve">6. </t>
    </r>
    <r>
      <rPr>
        <rFont val="Montserrat"/>
        <color theme="1"/>
        <sz val="11.0"/>
      </rPr>
      <t xml:space="preserve">Caso seja necessário acrescentar horas “quebradas” para cumprir a carga horária total no calendário, prever essas horas ao final do contrato de aprendizagem (últimos meses do calendário de aprendizagem). 
</t>
    </r>
    <r>
      <rPr>
        <rFont val="Montserrat"/>
        <b/>
        <i/>
        <color theme="1"/>
        <sz val="11.0"/>
      </rPr>
      <t xml:space="preserve">Exemplo: </t>
    </r>
    <r>
      <rPr>
        <rFont val="Montserrat"/>
        <i/>
        <color theme="1"/>
        <sz val="11.0"/>
      </rPr>
      <t>o aprendiz precisa, ainda, cumprir 2h37 de prática para fechar a carga horária contratualmente prevista. Essa carga horária será cumprida nos últimos dias de contrato.</t>
    </r>
  </si>
  <si>
    <r>
      <rPr>
        <rFont val="Montserrat"/>
        <b/>
        <color theme="1"/>
        <sz val="12.0"/>
      </rPr>
      <t xml:space="preserve">Fórmula: </t>
    </r>
    <r>
      <rPr>
        <rFont val="Montserrat"/>
        <color theme="1"/>
        <sz val="12.0"/>
      </rPr>
      <t>="horas"*dias+"horas"*dias</t>
    </r>
  </si>
  <si>
    <r>
      <rPr>
        <rFont val="Montserrat"/>
        <b/>
        <color theme="1"/>
        <sz val="12.0"/>
      </rPr>
      <t>Exemplo:</t>
    </r>
    <r>
      <rPr>
        <rFont val="Montserrat"/>
        <color theme="1"/>
        <sz val="12.0"/>
      </rPr>
      <t xml:space="preserve"> ="1:40"*12</t>
    </r>
  </si>
  <si>
    <r>
      <rPr>
        <rFont val="Montserrat"/>
        <b/>
        <color theme="1"/>
        <sz val="11.0"/>
      </rPr>
      <t>1.</t>
    </r>
    <r>
      <rPr>
        <rFont val="Montserrat"/>
        <color theme="1"/>
        <sz val="11.0"/>
      </rPr>
      <t xml:space="preserve"> Inicie o processo se baseando no  que consta na grade horária</t>
    </r>
  </si>
  <si>
    <r>
      <rPr>
        <rFont val="Montserrat"/>
        <b/>
        <color theme="1"/>
        <sz val="11.0"/>
      </rPr>
      <t>2.</t>
    </r>
    <r>
      <rPr>
        <rFont val="Montserrat"/>
        <color theme="1"/>
        <sz val="11.0"/>
      </rPr>
      <t xml:space="preserve"> A carga horária semanal será definida de acordo com o que consta no contrato aprendizado celebrado entre a empresa e o aprendiz</t>
    </r>
  </si>
  <si>
    <r>
      <rPr>
        <rFont val="Montserrat"/>
        <b/>
        <color theme="1"/>
        <sz val="11.0"/>
      </rPr>
      <t xml:space="preserve">3. </t>
    </r>
    <r>
      <rPr>
        <rFont val="Montserrat"/>
        <color theme="1"/>
        <sz val="11.0"/>
      </rPr>
      <t>Carga horária total diária de teoria + prática pode ser no máximo 8 horas, ou, somente, 6 horas de prática</t>
    </r>
  </si>
  <si>
    <r>
      <rPr>
        <rFont val="Montserrat"/>
        <b/>
        <color theme="1"/>
        <sz val="11.0"/>
      </rPr>
      <t xml:space="preserve">4. </t>
    </r>
    <r>
      <rPr>
        <rFont val="Montserrat"/>
        <color theme="1"/>
        <sz val="11.0"/>
      </rPr>
      <t>A carga horária prática não pode ser concluída antes carga horária teórica. Deve ser concluída de forma concomitante ou depois de finalizada a teórica.</t>
    </r>
  </si>
  <si>
    <r>
      <rPr>
        <rFont val="Montserrat"/>
        <b/>
        <color theme="1"/>
        <sz val="11.0"/>
      </rPr>
      <t xml:space="preserve">5. </t>
    </r>
    <r>
      <rPr>
        <rFont val="Montserrat"/>
        <color theme="1"/>
        <sz val="11.0"/>
      </rPr>
      <t xml:space="preserve">A distribuição da carga horária semanal deve, preferencialmente, ser igual durante todas as semanas do mês.
Porém, para garantir que a apendizagem profissional cumpra os pontos 2, 3 e 4, nem sempre as semanas ou meses  terão a mesma carga horária prática e/ou teórica.
</t>
    </r>
    <r>
      <rPr>
        <rFont val="Montserrat"/>
        <b/>
        <color theme="1"/>
        <sz val="11.0"/>
      </rPr>
      <t xml:space="preserve">Exemplo: </t>
    </r>
    <r>
      <rPr>
        <rFont val="Montserrat"/>
        <color theme="1"/>
        <sz val="11.0"/>
      </rPr>
      <t xml:space="preserve"> o calendário pode ser iniciado somente com a parte teórica da aprendizagem profissional e, no mês seguinte, passar a incluir também a parte prática.</t>
    </r>
  </si>
  <si>
    <r>
      <rPr>
        <rFont val="Montserrat"/>
        <b/>
        <color theme="1"/>
        <sz val="11.0"/>
      </rPr>
      <t xml:space="preserve">6. </t>
    </r>
    <r>
      <rPr>
        <rFont val="Montserrat"/>
        <color theme="1"/>
        <sz val="11.0"/>
      </rPr>
      <t xml:space="preserve">Caso seja necessário acrescentar horas “quebradas” para cumprir a carga horária total no calendário, prever essas horas ao final do contrato de aprendizagem (últimos meses do calendário de aprendizagem). 
</t>
    </r>
    <r>
      <rPr>
        <rFont val="Montserrat"/>
        <b/>
        <i/>
        <color theme="1"/>
        <sz val="11.0"/>
      </rPr>
      <t xml:space="preserve">Exemplo: </t>
    </r>
    <r>
      <rPr>
        <rFont val="Montserrat"/>
        <i/>
        <color theme="1"/>
        <sz val="11.0"/>
      </rPr>
      <t>o aprendiz precisa, ainda, cumprir 2h37 de prática para fechar a carga horária contratualmente prevista. Essa carga horária será cumprida nos últimos dias de contrato.</t>
    </r>
  </si>
  <si>
    <t>TEORIA NA ENTIDADE 3h20min/DIA (4 aula/dia) E PRÁTICA NA EMPRESA 4h/DIA</t>
  </si>
  <si>
    <t xml:space="preserve"> PRÁTICA NA EMPRESA  4h/DIA</t>
  </si>
  <si>
    <r>
      <rPr>
        <rFont val="Montserrat"/>
        <b/>
        <color theme="1"/>
        <sz val="12.0"/>
      </rPr>
      <t xml:space="preserve">Fórmula: </t>
    </r>
    <r>
      <rPr>
        <rFont val="Montserrat"/>
        <color theme="1"/>
        <sz val="12.0"/>
      </rPr>
      <t>="horas"*dias+"horas"*dias</t>
    </r>
  </si>
  <si>
    <r>
      <rPr>
        <rFont val="Montserrat"/>
        <b/>
        <color theme="1"/>
        <sz val="12.0"/>
      </rPr>
      <t>Exemplo:</t>
    </r>
    <r>
      <rPr>
        <rFont val="Montserrat"/>
        <color theme="1"/>
        <sz val="12.0"/>
      </rPr>
      <t xml:space="preserve"> ="1:40"*12</t>
    </r>
  </si>
  <si>
    <r>
      <rPr>
        <rFont val="Montserrat"/>
        <b/>
        <color theme="1"/>
        <sz val="11.0"/>
      </rPr>
      <t>1.</t>
    </r>
    <r>
      <rPr>
        <rFont val="Montserrat"/>
        <color theme="1"/>
        <sz val="11.0"/>
      </rPr>
      <t xml:space="preserve"> Inicie o processo se baseando no  que consta na grade horária</t>
    </r>
  </si>
  <si>
    <r>
      <rPr>
        <rFont val="Montserrat"/>
        <b/>
        <color theme="1"/>
        <sz val="11.0"/>
      </rPr>
      <t>2.</t>
    </r>
    <r>
      <rPr>
        <rFont val="Montserrat"/>
        <color theme="1"/>
        <sz val="11.0"/>
      </rPr>
      <t xml:space="preserve"> A carga horária semanal será definida de acordo com o que consta no contrato aprendizado celebrado entre a empresa e o aprendiz</t>
    </r>
  </si>
  <si>
    <r>
      <rPr>
        <rFont val="Montserrat"/>
        <b/>
        <color theme="1"/>
        <sz val="11.0"/>
      </rPr>
      <t xml:space="preserve">3. </t>
    </r>
    <r>
      <rPr>
        <rFont val="Montserrat"/>
        <color theme="1"/>
        <sz val="11.0"/>
      </rPr>
      <t>Carga horária total diária de teoria + prática pode ser no máximo 8 horas, ou, somente, 6 horas de prática</t>
    </r>
  </si>
  <si>
    <r>
      <rPr>
        <rFont val="Montserrat"/>
        <b/>
        <color theme="1"/>
        <sz val="11.0"/>
      </rPr>
      <t xml:space="preserve">4. </t>
    </r>
    <r>
      <rPr>
        <rFont val="Montserrat"/>
        <color theme="1"/>
        <sz val="11.0"/>
      </rPr>
      <t>A carga horária prática não pode ser concluída antes carga horária teórica. Deve ser concluída de forma concomitante ou depois de finalizada a teórica.</t>
    </r>
  </si>
  <si>
    <r>
      <rPr>
        <rFont val="Montserrat"/>
        <b/>
        <color theme="1"/>
        <sz val="11.0"/>
      </rPr>
      <t xml:space="preserve">5. </t>
    </r>
    <r>
      <rPr>
        <rFont val="Montserrat"/>
        <color theme="1"/>
        <sz val="11.0"/>
      </rPr>
      <t xml:space="preserve">A distribuição da carga horária semanal deve, preferencialmente, ser igual durante todas as semanas do mês.
Porém, para garantir que a apendizagem profissional cumpra os pontos 2, 3 e 4, nem sempre as semanas ou meses  terão a mesma carga horária prática e/ou teórica.
</t>
    </r>
    <r>
      <rPr>
        <rFont val="Montserrat"/>
        <b/>
        <color theme="1"/>
        <sz val="11.0"/>
      </rPr>
      <t xml:space="preserve">Exemplo: </t>
    </r>
    <r>
      <rPr>
        <rFont val="Montserrat"/>
        <color theme="1"/>
        <sz val="11.0"/>
      </rPr>
      <t xml:space="preserve"> o calendário pode ser iniciado somente com a parte teórica da aprendizagem profissional e, no mês seguinte, passar a incluir também a parte prática.</t>
    </r>
  </si>
  <si>
    <r>
      <rPr>
        <rFont val="Montserrat"/>
        <b/>
        <color theme="1"/>
        <sz val="11.0"/>
      </rPr>
      <t xml:space="preserve">6. </t>
    </r>
    <r>
      <rPr>
        <rFont val="Montserrat"/>
        <color theme="1"/>
        <sz val="11.0"/>
      </rPr>
      <t xml:space="preserve">Caso seja necessário acrescentar horas “quebradas” para cumprir a carga horária total no calendário, prever essas horas ao final do contrato de aprendizagem (últimos meses do calendário de aprendizagem). 
</t>
    </r>
    <r>
      <rPr>
        <rFont val="Montserrat"/>
        <b/>
        <i/>
        <color theme="1"/>
        <sz val="11.0"/>
      </rPr>
      <t xml:space="preserve">Exemplo: </t>
    </r>
    <r>
      <rPr>
        <rFont val="Montserrat"/>
        <i/>
        <color theme="1"/>
        <sz val="11.0"/>
      </rPr>
      <t>o aprendiz precisa, ainda, cumprir 2h37 de prática para fechar a carga horária contratualmente prevista. Essa carga horária será cumprida nos últimos dias de contrato.</t>
    </r>
  </si>
  <si>
    <t>os dois ultimos meses ele fará 20h</t>
  </si>
  <si>
    <t>Pegando 5 dias de 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</si>
</sst>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h]:mm"/>
    <numFmt numFmtId="165" formatCode="mmmm\ yyyy"/>
    <numFmt numFmtId="166" formatCode="[$-416]d\ mmm"/>
    <numFmt numFmtId="167" formatCode="ddd"/>
    <numFmt numFmtId="168" formatCode="d"/>
    <numFmt numFmtId="169" formatCode="hh:mm"/>
  </numFmts>
  <fonts count="30">
    <font>
      <sz val="11.0"/>
      <color theme="1"/>
      <name val="Calibri"/>
      <scheme val="minor"/>
    </font>
    <font>
      <sz val="12.0"/>
      <color rgb="FF000000"/>
      <name val="Times New Roman"/>
    </font>
    <font>
      <sz val="11.0"/>
      <color theme="1"/>
      <name val="Calibri"/>
    </font>
    <font>
      <b/>
      <sz val="12.0"/>
      <color rgb="FF000000"/>
      <name val="Times New Roman"/>
    </font>
    <font>
      <b/>
      <sz val="12.0"/>
      <color rgb="FF263E74"/>
      <name val="Arial"/>
    </font>
    <font>
      <b/>
      <sz val="14.0"/>
      <color rgb="FF263E74"/>
      <name val="Arial"/>
    </font>
    <font/>
    <font>
      <b/>
      <sz val="11.0"/>
      <color theme="1"/>
      <name val="Times New Roman"/>
    </font>
    <font>
      <b/>
      <sz val="10.0"/>
      <color rgb="FFFFFFCC"/>
      <name val="Arial"/>
    </font>
    <font>
      <b/>
      <sz val="10.0"/>
      <color rgb="FFFFFFFF"/>
      <name val="Arial"/>
    </font>
    <font>
      <sz val="9.0"/>
      <color rgb="FF263E74"/>
      <name val="Arial Narrow"/>
    </font>
    <font>
      <b/>
      <sz val="10.0"/>
      <color rgb="FF263E74"/>
      <name val="Arial"/>
    </font>
    <font>
      <color theme="1"/>
      <name val="Calibri"/>
      <scheme val="minor"/>
    </font>
    <font>
      <sz val="10.0"/>
      <color rgb="FF000000"/>
      <name val="Times New Roman"/>
    </font>
    <font>
      <sz val="10.0"/>
      <color rgb="FF000000"/>
      <name val="Arial"/>
    </font>
    <font>
      <sz val="10.0"/>
      <color theme="1"/>
      <name val="Arial"/>
    </font>
    <font>
      <color theme="1"/>
      <name val="Times New Roman"/>
    </font>
    <font>
      <color theme="1"/>
      <name val="Calibri"/>
    </font>
    <font>
      <sz val="11.0"/>
      <color theme="1"/>
      <name val="Times New Roman"/>
    </font>
    <font>
      <b/>
      <sz val="11.0"/>
      <color theme="1"/>
      <name val="Calibri"/>
    </font>
    <font>
      <b/>
      <sz val="12.0"/>
      <color theme="1"/>
      <name val="Montserrat"/>
    </font>
    <font>
      <sz val="12.0"/>
      <color theme="1"/>
      <name val="Montserrat"/>
    </font>
    <font>
      <b/>
      <sz val="11.0"/>
      <color theme="1"/>
      <name val="Montserrat"/>
    </font>
    <font>
      <sz val="11.0"/>
      <color theme="1"/>
      <name val="Montserrat"/>
    </font>
    <font>
      <sz val="10.0"/>
      <color rgb="FF6D84A3"/>
      <name val="Calibri"/>
    </font>
    <font>
      <sz val="12.0"/>
      <color theme="1"/>
      <name val="Times New Roman"/>
    </font>
    <font>
      <b/>
      <color rgb="FFFFFFCC"/>
      <name val="Arial"/>
    </font>
    <font>
      <b/>
      <color rgb="FFFFFFFF"/>
      <name val="Arial"/>
    </font>
    <font>
      <b/>
      <color rgb="FF263E74"/>
      <name val="Arial"/>
    </font>
    <font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DEE3EA"/>
        <bgColor rgb="FFDEE3EA"/>
      </patternFill>
    </fill>
    <fill>
      <patternFill patternType="solid">
        <fgColor rgb="FF415D8B"/>
        <bgColor rgb="FF415D8B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CC4125"/>
        <bgColor rgb="FFCC412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00B050"/>
        <bgColor rgb="FF00B050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A8D08D"/>
        <bgColor rgb="FFA8D08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</fills>
  <borders count="36">
    <border/>
    <border>
      <left style="thin">
        <color rgb="FF5B9BD5"/>
      </left>
      <right/>
      <top style="thin">
        <color rgb="FF5B9BD5"/>
      </top>
      <bottom/>
    </border>
    <border>
      <left/>
      <right/>
      <top style="thin">
        <color rgb="FF5B9BD5"/>
      </top>
      <bottom/>
    </border>
    <border>
      <left/>
      <top style="thin">
        <color rgb="FF5B9BD5"/>
      </top>
      <bottom/>
    </border>
    <border>
      <top style="thin">
        <color rgb="FF5B9BD5"/>
      </top>
      <bottom/>
    </border>
    <border>
      <left/>
      <right style="thin">
        <color rgb="FF5B9BD5"/>
      </right>
      <top style="thin">
        <color rgb="FF5B9BD5"/>
      </top>
      <bottom/>
    </border>
    <border>
      <left style="thin">
        <color rgb="FF718DB7"/>
      </left>
      <right/>
      <top style="thin">
        <color rgb="FF5B9BD5"/>
      </top>
      <bottom/>
    </border>
    <border>
      <left/>
      <right style="thin">
        <color rgb="FF718DB7"/>
      </right>
      <top style="thin">
        <color rgb="FF5B9BD5"/>
      </top>
      <bottom/>
    </border>
    <border>
      <left style="thin">
        <color rgb="FF718DB7"/>
      </left>
      <right style="thin">
        <color rgb="FFDDEBF7"/>
      </right>
      <top style="thin">
        <color rgb="FF666699"/>
      </top>
      <bottom/>
    </border>
    <border>
      <left style="thin">
        <color rgb="FFDDEBF7"/>
      </left>
      <right style="thin">
        <color rgb="FFDDEBF7"/>
      </right>
      <top style="thin">
        <color rgb="FF666699"/>
      </top>
      <bottom/>
    </border>
    <border>
      <left style="thin">
        <color rgb="FFDDEBF7"/>
      </left>
      <right style="thin">
        <color rgb="FF718DB7"/>
      </right>
      <top style="thin">
        <color rgb="FF666699"/>
      </top>
      <bottom/>
    </border>
    <border>
      <left style="thin">
        <color rgb="FFBFBFBF"/>
      </left>
      <right/>
      <top style="thin">
        <color rgb="FFBFBFBF"/>
      </top>
      <bottom style="thin">
        <color rgb="FF718DB7"/>
      </bottom>
    </border>
    <border>
      <left style="thin">
        <color rgb="FF718DB7"/>
      </left>
      <right style="thin">
        <color rgb="FFD6DDEE"/>
      </right>
      <top style="thin">
        <color rgb="FF7C808A"/>
      </top>
      <bottom style="thin">
        <color rgb="FFD6DDEE"/>
      </bottom>
    </border>
    <border>
      <left style="thin">
        <color rgb="FF718DB7"/>
      </left>
      <right style="thin">
        <color rgb="FFD6DDEE"/>
      </right>
      <top style="thin">
        <color rgb="FF7C808A"/>
      </top>
      <bottom style="thin">
        <color rgb="FF5B9BD5"/>
      </bottom>
    </border>
    <border>
      <left style="thin">
        <color rgb="FF1F487C"/>
      </left>
      <right style="thin">
        <color rgb="FF1F487C"/>
      </right>
      <top style="thin">
        <color rgb="FF1F487C"/>
      </top>
      <bottom style="thin">
        <color rgb="FF1F487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6600"/>
      </bottom>
    </border>
    <border>
      <left style="thin">
        <color rgb="FF718DB7"/>
      </left>
      <right style="thin">
        <color rgb="FFABBCD5"/>
      </right>
      <top style="thin">
        <color rgb="FF7C808A"/>
      </top>
      <bottom style="thin">
        <color rgb="FFC9C9C9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18DB7"/>
      </left>
      <right/>
      <top style="thin">
        <color rgb="FF718DB7"/>
      </top>
      <bottom/>
    </border>
    <border>
      <left/>
      <right/>
      <top style="thin">
        <color rgb="FF718DB7"/>
      </top>
      <bottom/>
    </border>
    <border>
      <left/>
      <top style="thin">
        <color rgb="FF718DB7"/>
      </top>
      <bottom style="thin">
        <color rgb="FF666699"/>
      </bottom>
    </border>
    <border>
      <top style="thin">
        <color rgb="FF718DB7"/>
      </top>
      <bottom style="thin">
        <color rgb="FF666699"/>
      </bottom>
    </border>
    <border>
      <left/>
      <right style="thin">
        <color rgb="FF718DB7"/>
      </right>
      <top style="thin">
        <color rgb="FF718DB7"/>
      </top>
      <bottom/>
    </border>
    <border>
      <left/>
      <right/>
      <top style="thin">
        <color rgb="FFBFBFBF"/>
      </top>
      <bottom style="thin">
        <color rgb="FF718DB7"/>
      </bottom>
    </border>
    <border>
      <left/>
      <right style="thin">
        <color rgb="FF718DB7"/>
      </right>
      <top style="thin">
        <color rgb="FFBFBFBF"/>
      </top>
      <bottom style="thin">
        <color rgb="FF718DB7"/>
      </bottom>
    </border>
    <border>
      <left/>
      <top style="thin">
        <color rgb="FF718DB7"/>
      </top>
      <bottom/>
    </border>
    <border>
      <top style="thin">
        <color rgb="FF718DB7"/>
      </top>
      <bottom/>
    </border>
    <border>
      <left style="thin">
        <color rgb="FFABBCD5"/>
      </left>
      <right style="thin">
        <color rgb="FFC9C9C9"/>
      </right>
      <top style="thin">
        <color rgb="FF7C808A"/>
      </top>
      <bottom style="thin">
        <color rgb="FFC9C9C9"/>
      </bottom>
    </border>
    <border>
      <left style="thin">
        <color rgb="FFABBCD5"/>
      </left>
      <right style="thin">
        <color rgb="FFABBCD5"/>
      </right>
      <top style="thin">
        <color rgb="FF7C808A"/>
      </top>
      <bottom style="thin">
        <color rgb="FFC9C9C9"/>
      </bottom>
    </border>
    <border>
      <left/>
      <right/>
      <top/>
      <bottom/>
    </border>
    <border>
      <left/>
      <right style="thin">
        <color rgb="FF718DB7"/>
      </right>
      <top style="thin">
        <color rgb="FFBFBFBF"/>
      </top>
      <bottom style="thin">
        <color rgb="FF5B9BD5"/>
      </bottom>
    </border>
    <border>
      <left style="thin">
        <color rgb="FFBFBFBF"/>
      </left>
      <right style="thin">
        <color rgb="FF718DB7"/>
      </right>
      <top style="thin">
        <color rgb="FFBFBFBF"/>
      </top>
      <bottom style="thin">
        <color rgb="FF718DB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horizontal="center" readingOrder="0" shrinkToFit="0" vertical="top" wrapText="1"/>
    </xf>
    <xf borderId="1" fillId="2" fontId="4" numFmtId="165" xfId="0" applyAlignment="1" applyBorder="1" applyFill="1" applyFont="1" applyNumberFormat="1">
      <alignment horizontal="center" vertical="center"/>
    </xf>
    <xf borderId="2" fillId="2" fontId="5" numFmtId="0" xfId="0" applyAlignment="1" applyBorder="1" applyFont="1">
      <alignment horizontal="center"/>
    </xf>
    <xf quotePrefix="1" borderId="3" fillId="2" fontId="4" numFmtId="0" xfId="0" applyAlignment="1" applyBorder="1" applyFont="1">
      <alignment horizontal="center" readingOrder="0" shrinkToFit="1" vertical="center" wrapText="0"/>
    </xf>
    <xf borderId="4" fillId="0" fontId="6" numFmtId="0" xfId="0" applyBorder="1" applyFont="1"/>
    <xf borderId="5" fillId="2" fontId="5" numFmtId="0" xfId="0" applyAlignment="1" applyBorder="1" applyFont="1">
      <alignment horizontal="center"/>
    </xf>
    <xf borderId="6" fillId="2" fontId="4" numFmtId="165" xfId="0" applyAlignment="1" applyBorder="1" applyFont="1" applyNumberFormat="1">
      <alignment horizontal="center" vertical="center"/>
    </xf>
    <xf borderId="7" fillId="2" fontId="5" numFmtId="0" xfId="0" applyAlignment="1" applyBorder="1" applyFont="1">
      <alignment horizontal="center"/>
    </xf>
    <xf borderId="0" fillId="0" fontId="2" numFmtId="166" xfId="0" applyAlignment="1" applyFont="1" applyNumberFormat="1">
      <alignment vertical="bottom"/>
    </xf>
    <xf borderId="0" fillId="0" fontId="7" numFmtId="0" xfId="0" applyAlignment="1" applyFont="1">
      <alignment vertical="top"/>
    </xf>
    <xf borderId="0" fillId="0" fontId="2" numFmtId="0" xfId="0" applyAlignment="1" applyFont="1">
      <alignment vertical="top"/>
    </xf>
    <xf quotePrefix="1" borderId="8" fillId="3" fontId="8" numFmtId="167" xfId="0" applyAlignment="1" applyBorder="1" applyFill="1" applyFont="1" applyNumberFormat="1">
      <alignment horizontal="center" shrinkToFit="1" wrapText="0"/>
    </xf>
    <xf quotePrefix="1" borderId="9" fillId="3" fontId="9" numFmtId="167" xfId="0" applyAlignment="1" applyBorder="1" applyFont="1" applyNumberFormat="1">
      <alignment horizontal="center" shrinkToFit="1" wrapText="0"/>
    </xf>
    <xf quotePrefix="1" borderId="10" fillId="3" fontId="8" numFmtId="167" xfId="0" applyAlignment="1" applyBorder="1" applyFont="1" applyNumberFormat="1">
      <alignment horizontal="center" shrinkToFit="1" wrapText="0"/>
    </xf>
    <xf borderId="11" fillId="4" fontId="10" numFmtId="49" xfId="0" applyAlignment="1" applyBorder="1" applyFill="1" applyFont="1" applyNumberFormat="1">
      <alignment horizontal="left" shrinkToFit="0" vertical="center" wrapText="1"/>
    </xf>
    <xf borderId="12" fillId="5" fontId="11" numFmtId="168" xfId="0" applyAlignment="1" applyBorder="1" applyFill="1" applyFont="1" applyNumberFormat="1">
      <alignment horizontal="center" readingOrder="0" shrinkToFit="1" vertical="center" wrapText="0"/>
    </xf>
    <xf borderId="12" fillId="6" fontId="11" numFmtId="0" xfId="0" applyAlignment="1" applyBorder="1" applyFill="1" applyFont="1">
      <alignment horizontal="center" readingOrder="0" shrinkToFit="1" vertical="center" wrapText="0"/>
    </xf>
    <xf borderId="12" fillId="5" fontId="11" numFmtId="0" xfId="0" applyAlignment="1" applyBorder="1" applyFont="1">
      <alignment horizontal="center" readingOrder="0" shrinkToFit="1" vertical="center" wrapText="0"/>
    </xf>
    <xf borderId="13" fillId="7" fontId="11" numFmtId="0" xfId="0" applyAlignment="1" applyBorder="1" applyFill="1" applyFont="1">
      <alignment horizontal="center" readingOrder="0" shrinkToFit="1" vertical="center" wrapText="0"/>
    </xf>
    <xf borderId="13" fillId="8" fontId="11" numFmtId="0" xfId="0" applyAlignment="1" applyBorder="1" applyFill="1" applyFont="1">
      <alignment horizontal="center" readingOrder="0" shrinkToFit="1" vertical="center" wrapText="0"/>
    </xf>
    <xf borderId="13" fillId="5" fontId="11" numFmtId="0" xfId="0" applyAlignment="1" applyBorder="1" applyFont="1">
      <alignment horizontal="center" readingOrder="0" shrinkToFit="1" vertical="center" wrapText="0"/>
    </xf>
    <xf borderId="14" fillId="9" fontId="2" numFmtId="1" xfId="0" applyAlignment="1" applyBorder="1" applyFill="1" applyFont="1" applyNumberFormat="1">
      <alignment vertical="top"/>
    </xf>
    <xf borderId="0" fillId="0" fontId="2" numFmtId="0" xfId="0" applyAlignment="1" applyFont="1">
      <alignment vertical="top"/>
    </xf>
    <xf borderId="0" fillId="0" fontId="12" numFmtId="0" xfId="0" applyAlignment="1" applyFont="1">
      <alignment readingOrder="0"/>
    </xf>
    <xf borderId="15" fillId="10" fontId="2" numFmtId="1" xfId="0" applyAlignment="1" applyBorder="1" applyFill="1" applyFont="1" applyNumberFormat="1">
      <alignment vertical="top"/>
    </xf>
    <xf borderId="13" fillId="6" fontId="11" numFmtId="0" xfId="0" applyAlignment="1" applyBorder="1" applyFont="1">
      <alignment horizontal="center" readingOrder="0" shrinkToFit="1" vertical="center" wrapText="0"/>
    </xf>
    <xf borderId="16" fillId="4" fontId="10" numFmtId="49" xfId="0" applyAlignment="1" applyBorder="1" applyFont="1" applyNumberFormat="1">
      <alignment horizontal="left" shrinkToFit="0" vertical="center" wrapText="1"/>
    </xf>
    <xf borderId="13" fillId="11" fontId="2" numFmtId="168" xfId="0" applyBorder="1" applyFill="1" applyFont="1" applyNumberFormat="1"/>
    <xf borderId="0" fillId="0" fontId="11" numFmtId="168" xfId="0" applyAlignment="1" applyFont="1" applyNumberFormat="1">
      <alignment horizontal="center" shrinkToFit="1" vertical="center" wrapText="0"/>
    </xf>
    <xf borderId="0" fillId="0" fontId="10" numFmtId="49" xfId="0" applyAlignment="1" applyFont="1" applyNumberFormat="1">
      <alignment horizontal="left" shrinkToFit="0" vertical="center" wrapText="1"/>
    </xf>
    <xf borderId="0" fillId="0" fontId="13" numFmtId="0" xfId="0" applyAlignment="1" applyFont="1">
      <alignment horizontal="center" shrinkToFit="0" wrapText="1"/>
    </xf>
    <xf borderId="0" fillId="0" fontId="14" numFmtId="164" xfId="0" applyAlignment="1" applyFont="1" applyNumberFormat="1">
      <alignment readingOrder="0" shrinkToFit="1" vertical="top" wrapText="0"/>
    </xf>
    <xf borderId="0" fillId="0" fontId="15" numFmtId="0" xfId="0" applyFont="1"/>
    <xf borderId="17" fillId="0" fontId="13" numFmtId="0" xfId="0" applyAlignment="1" applyBorder="1" applyFont="1">
      <alignment horizontal="center" shrinkToFit="0" wrapText="1"/>
    </xf>
    <xf borderId="17" fillId="0" fontId="6" numFmtId="0" xfId="0" applyBorder="1" applyFont="1"/>
    <xf borderId="17" fillId="0" fontId="14" numFmtId="164" xfId="0" applyAlignment="1" applyBorder="1" applyFont="1" applyNumberFormat="1">
      <alignment shrinkToFit="1" vertical="top" wrapText="0"/>
    </xf>
    <xf borderId="18" fillId="12" fontId="2" numFmtId="0" xfId="0" applyAlignment="1" applyBorder="1" applyFill="1" applyFont="1">
      <alignment vertical="top"/>
    </xf>
    <xf borderId="0" fillId="0" fontId="16" numFmtId="0" xfId="0" applyAlignment="1" applyFont="1">
      <alignment vertical="top"/>
    </xf>
    <xf borderId="19" fillId="2" fontId="4" numFmtId="165" xfId="0" applyAlignment="1" applyBorder="1" applyFont="1" applyNumberFormat="1">
      <alignment horizontal="center" vertical="center"/>
    </xf>
    <xf borderId="20" fillId="2" fontId="5" numFmtId="0" xfId="0" applyAlignment="1" applyBorder="1" applyFont="1">
      <alignment horizontal="center"/>
    </xf>
    <xf quotePrefix="1" borderId="21" fillId="2" fontId="4" numFmtId="0" xfId="0" applyAlignment="1" applyBorder="1" applyFont="1">
      <alignment horizontal="center" readingOrder="0" shrinkToFit="1" vertical="center" wrapText="0"/>
    </xf>
    <xf borderId="22" fillId="0" fontId="6" numFmtId="0" xfId="0" applyBorder="1" applyFont="1"/>
    <xf borderId="23" fillId="2" fontId="5" numFmtId="0" xfId="0" applyAlignment="1" applyBorder="1" applyFont="1">
      <alignment horizontal="center"/>
    </xf>
    <xf borderId="13" fillId="13" fontId="2" numFmtId="168" xfId="0" applyBorder="1" applyFill="1" applyFont="1" applyNumberFormat="1"/>
    <xf borderId="0" fillId="0" fontId="2" numFmtId="0" xfId="0" applyAlignment="1" applyFont="1">
      <alignment vertical="top"/>
    </xf>
    <xf borderId="13" fillId="6" fontId="11" numFmtId="168" xfId="0" applyAlignment="1" applyBorder="1" applyFont="1" applyNumberFormat="1">
      <alignment horizontal="center" readingOrder="0" shrinkToFit="1" vertical="center" wrapText="0"/>
    </xf>
    <xf borderId="13" fillId="5" fontId="11" numFmtId="168" xfId="0" applyAlignment="1" applyBorder="1" applyFont="1" applyNumberFormat="1">
      <alignment horizontal="center" readingOrder="0" shrinkToFit="1" vertical="center" wrapText="0"/>
    </xf>
    <xf borderId="0" fillId="0" fontId="17" numFmtId="0" xfId="0" applyFont="1"/>
    <xf borderId="13" fillId="14" fontId="2" numFmtId="168" xfId="0" applyBorder="1" applyFill="1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3" fillId="7" fontId="2" numFmtId="168" xfId="0" applyBorder="1" applyFont="1" applyNumberFormat="1"/>
    <xf borderId="24" fillId="4" fontId="10" numFmtId="49" xfId="0" applyAlignment="1" applyBorder="1" applyFont="1" applyNumberFormat="1">
      <alignment horizontal="left" shrinkToFit="0" vertical="center" wrapText="1"/>
    </xf>
    <xf borderId="25" fillId="4" fontId="10" numFmtId="49" xfId="0" applyAlignment="1" applyBorder="1" applyFont="1" applyNumberFormat="1">
      <alignment horizontal="left" shrinkToFit="0" vertical="center" wrapText="1"/>
    </xf>
    <xf borderId="0" fillId="0" fontId="14" numFmtId="164" xfId="0" applyAlignment="1" applyFont="1" applyNumberFormat="1">
      <alignment shrinkToFit="1" vertical="top" wrapText="0"/>
    </xf>
    <xf borderId="13" fillId="15" fontId="2" numFmtId="168" xfId="0" applyBorder="1" applyFill="1" applyFont="1" applyNumberFormat="1"/>
    <xf borderId="17" fillId="0" fontId="14" numFmtId="164" xfId="0" applyAlignment="1" applyBorder="1" applyFont="1" applyNumberFormat="1">
      <alignment readingOrder="0" shrinkToFit="1" vertical="top" wrapText="0"/>
    </xf>
    <xf borderId="0" fillId="0" fontId="2" numFmtId="164" xfId="0" applyAlignment="1" applyFont="1" applyNumberFormat="1">
      <alignment vertical="top"/>
    </xf>
    <xf borderId="18" fillId="0" fontId="18" numFmtId="0" xfId="0" applyAlignment="1" applyBorder="1" applyFont="1">
      <alignment vertical="top"/>
    </xf>
    <xf borderId="18" fillId="16" fontId="19" numFmtId="164" xfId="0" applyAlignment="1" applyBorder="1" applyFill="1" applyFont="1" applyNumberFormat="1">
      <alignment vertical="top"/>
    </xf>
    <xf quotePrefix="1" borderId="26" fillId="2" fontId="4" numFmtId="0" xfId="0" applyAlignment="1" applyBorder="1" applyFont="1">
      <alignment horizontal="center" readingOrder="0" shrinkToFit="1" vertical="center" wrapText="0"/>
    </xf>
    <xf borderId="27" fillId="0" fontId="6" numFmtId="0" xfId="0" applyBorder="1" applyFont="1"/>
    <xf borderId="28" fillId="4" fontId="10" numFmtId="49" xfId="0" applyAlignment="1" applyBorder="1" applyFont="1" applyNumberFormat="1">
      <alignment horizontal="left" shrinkToFit="0" vertical="center" wrapText="1"/>
    </xf>
    <xf borderId="0" fillId="0" fontId="2" numFmtId="0" xfId="0" applyFont="1"/>
    <xf borderId="18" fillId="0" fontId="16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shrinkToFit="0" vertical="bottom" wrapText="1"/>
    </xf>
    <xf borderId="0" fillId="0" fontId="23" numFmtId="0" xfId="0" applyAlignment="1" applyFont="1">
      <alignment shrinkToFit="0" vertical="bottom" wrapText="1"/>
    </xf>
    <xf borderId="29" fillId="4" fontId="10" numFmtId="49" xfId="0" applyAlignment="1" applyBorder="1" applyFont="1" applyNumberFormat="1">
      <alignment horizontal="left" shrinkToFit="0" vertical="center" wrapText="1"/>
    </xf>
    <xf borderId="0" fillId="0" fontId="23" numFmtId="0" xfId="0" applyAlignment="1" applyFont="1">
      <alignment shrinkToFit="0" vertical="bottom" wrapText="1"/>
    </xf>
    <xf borderId="13" fillId="17" fontId="11" numFmtId="168" xfId="0" applyAlignment="1" applyBorder="1" applyFill="1" applyFont="1" applyNumberFormat="1">
      <alignment horizontal="center" readingOrder="0" shrinkToFit="1" vertical="center" wrapText="0"/>
    </xf>
    <xf borderId="0" fillId="0" fontId="23" numFmtId="0" xfId="0" applyAlignment="1" applyFont="1">
      <alignment shrinkToFit="0" vertical="bottom" wrapText="1"/>
    </xf>
    <xf borderId="30" fillId="6" fontId="2" numFmtId="0" xfId="0" applyBorder="1" applyFont="1"/>
    <xf borderId="30" fillId="6" fontId="11" numFmtId="168" xfId="0" applyAlignment="1" applyBorder="1" applyFont="1" applyNumberFormat="1">
      <alignment horizontal="center" shrinkToFit="1" vertical="center" wrapText="0"/>
    </xf>
    <xf borderId="30" fillId="6" fontId="10" numFmtId="49" xfId="0" applyAlignment="1" applyBorder="1" applyFont="1" applyNumberFormat="1">
      <alignment horizontal="left" shrinkToFit="0" vertical="center" wrapText="1"/>
    </xf>
    <xf borderId="0" fillId="0" fontId="14" numFmtId="1" xfId="0" applyAlignment="1" applyFont="1" applyNumberFormat="1">
      <alignment shrinkToFit="1" vertical="top" wrapText="0"/>
    </xf>
    <xf borderId="30" fillId="6" fontId="11" numFmtId="0" xfId="0" applyAlignment="1" applyBorder="1" applyFont="1">
      <alignment horizontal="center" shrinkToFit="1" vertical="center" wrapText="0"/>
    </xf>
    <xf borderId="17" fillId="0" fontId="14" numFmtId="1" xfId="0" applyAlignment="1" applyBorder="1" applyFont="1" applyNumberFormat="1">
      <alignment shrinkToFit="1" vertical="top" wrapText="0"/>
    </xf>
    <xf borderId="30" fillId="6" fontId="15" numFmtId="0" xfId="0" applyBorder="1" applyFont="1"/>
    <xf borderId="13" fillId="17" fontId="11" numFmtId="0" xfId="0" applyAlignment="1" applyBorder="1" applyFont="1">
      <alignment horizontal="center" readingOrder="0" shrinkToFit="1" vertical="center" wrapText="0"/>
    </xf>
    <xf borderId="0" fillId="0" fontId="24" numFmtId="0" xfId="0" applyFont="1"/>
    <xf borderId="12" fillId="6" fontId="11" numFmtId="168" xfId="0" applyAlignment="1" applyBorder="1" applyFont="1" applyNumberFormat="1">
      <alignment horizontal="center" readingOrder="0" shrinkToFit="1" vertical="center" wrapText="0"/>
    </xf>
    <xf borderId="13" fillId="7" fontId="11" numFmtId="168" xfId="0" applyAlignment="1" applyBorder="1" applyFont="1" applyNumberFormat="1">
      <alignment horizontal="center" readingOrder="0" shrinkToFit="1" vertical="center" wrapText="0"/>
    </xf>
    <xf borderId="13" fillId="8" fontId="11" numFmtId="168" xfId="0" applyAlignment="1" applyBorder="1" applyFont="1" applyNumberFormat="1">
      <alignment horizontal="center" readingOrder="0" shrinkToFit="1" vertical="center" wrapText="0"/>
    </xf>
    <xf borderId="31" fillId="4" fontId="10" numFmtId="49" xfId="0" applyAlignment="1" applyBorder="1" applyFont="1" applyNumberFormat="1">
      <alignment horizontal="left" shrinkToFit="0" vertical="center" wrapText="1"/>
    </xf>
    <xf borderId="32" fillId="4" fontId="10" numFmtId="49" xfId="0" applyAlignment="1" applyBorder="1" applyFont="1" applyNumberFormat="1">
      <alignment horizontal="left" shrinkToFit="0" vertical="center" wrapText="1"/>
    </xf>
    <xf borderId="13" fillId="18" fontId="11" numFmtId="168" xfId="0" applyAlignment="1" applyBorder="1" applyFill="1" applyFont="1" applyNumberFormat="1">
      <alignment horizontal="center" readingOrder="0" shrinkToFit="1" vertical="center" wrapText="0"/>
    </xf>
    <xf borderId="0" fillId="0" fontId="25" numFmtId="0" xfId="0" applyAlignment="1" applyFont="1">
      <alignment horizontal="center" shrinkToFit="0" vertical="top" wrapText="1"/>
    </xf>
    <xf borderId="0" fillId="0" fontId="2" numFmtId="164" xfId="0" applyAlignment="1" applyFont="1" applyNumberFormat="1">
      <alignment horizontal="right" vertical="bottom"/>
    </xf>
    <xf borderId="1" fillId="2" fontId="2" numFmtId="165" xfId="0" applyBorder="1" applyFont="1" applyNumberFormat="1"/>
    <xf borderId="2" fillId="2" fontId="2" numFmtId="0" xfId="0" applyAlignment="1" applyBorder="1" applyFont="1">
      <alignment vertical="bottom"/>
    </xf>
    <xf quotePrefix="1" borderId="3" fillId="2" fontId="4" numFmtId="0" xfId="0" applyAlignment="1" applyBorder="1" applyFont="1">
      <alignment horizontal="center"/>
    </xf>
    <xf borderId="5" fillId="2" fontId="2" numFmtId="0" xfId="0" applyAlignment="1" applyBorder="1" applyFont="1">
      <alignment vertical="bottom"/>
    </xf>
    <xf borderId="6" fillId="2" fontId="2" numFmtId="165" xfId="0" applyBorder="1" applyFont="1" applyNumberFormat="1"/>
    <xf borderId="7" fillId="2" fontId="2" numFmtId="0" xfId="0" applyAlignment="1" applyBorder="1" applyFont="1">
      <alignment vertical="bottom"/>
    </xf>
    <xf borderId="0" fillId="0" fontId="7" numFmtId="0" xfId="0" applyAlignment="1" applyFont="1">
      <alignment vertical="top"/>
    </xf>
    <xf quotePrefix="1" borderId="8" fillId="3" fontId="26" numFmtId="167" xfId="0" applyAlignment="1" applyBorder="1" applyFont="1" applyNumberFormat="1">
      <alignment horizontal="center" vertical="bottom"/>
    </xf>
    <xf quotePrefix="1" borderId="9" fillId="3" fontId="27" numFmtId="167" xfId="0" applyAlignment="1" applyBorder="1" applyFont="1" applyNumberFormat="1">
      <alignment horizontal="center" vertical="bottom"/>
    </xf>
    <xf quotePrefix="1" borderId="10" fillId="3" fontId="26" numFmtId="167" xfId="0" applyAlignment="1" applyBorder="1" applyFont="1" applyNumberFormat="1">
      <alignment horizontal="center" vertical="bottom"/>
    </xf>
    <xf borderId="11" fillId="4" fontId="2" numFmtId="49" xfId="0" applyBorder="1" applyFont="1" applyNumberFormat="1"/>
    <xf borderId="12" fillId="10" fontId="28" numFmtId="168" xfId="0" applyAlignment="1" applyBorder="1" applyFont="1" applyNumberFormat="1">
      <alignment horizontal="center"/>
    </xf>
    <xf borderId="12" fillId="9" fontId="28" numFmtId="168" xfId="0" applyAlignment="1" applyBorder="1" applyFont="1" applyNumberFormat="1">
      <alignment horizontal="center"/>
    </xf>
    <xf borderId="16" fillId="4" fontId="2" numFmtId="49" xfId="0" applyBorder="1" applyFont="1" applyNumberFormat="1"/>
    <xf borderId="13" fillId="10" fontId="28" numFmtId="168" xfId="0" applyAlignment="1" applyBorder="1" applyFont="1" applyNumberFormat="1">
      <alignment horizontal="center"/>
    </xf>
    <xf borderId="13" fillId="11" fontId="28" numFmtId="168" xfId="0" applyAlignment="1" applyBorder="1" applyFont="1" applyNumberFormat="1">
      <alignment horizontal="center"/>
    </xf>
    <xf borderId="13" fillId="15" fontId="28" numFmtId="168" xfId="0" applyAlignment="1" applyBorder="1" applyFont="1" applyNumberFormat="1">
      <alignment horizontal="center"/>
    </xf>
    <xf borderId="13" fillId="13" fontId="28" numFmtId="168" xfId="0" applyAlignment="1" applyBorder="1" applyFont="1" applyNumberFormat="1">
      <alignment horizontal="center"/>
    </xf>
    <xf borderId="13" fillId="9" fontId="28" numFmtId="168" xfId="0" applyAlignment="1" applyBorder="1" applyFont="1" applyNumberFormat="1">
      <alignment horizontal="center"/>
    </xf>
    <xf borderId="31" fillId="4" fontId="2" numFmtId="49" xfId="0" applyBorder="1" applyFont="1" applyNumberFormat="1"/>
    <xf borderId="18" fillId="11" fontId="2" numFmtId="1" xfId="0" applyAlignment="1" applyBorder="1" applyFont="1" applyNumberFormat="1">
      <alignment vertical="top"/>
    </xf>
    <xf borderId="0" fillId="0" fontId="2" numFmtId="168" xfId="0" applyFont="1" applyNumberFormat="1"/>
    <xf borderId="0" fillId="0" fontId="2" numFmtId="49" xfId="0" applyFont="1" applyNumberFormat="1"/>
    <xf borderId="0" fillId="0" fontId="16" numFmtId="0" xfId="0" applyAlignment="1" applyFont="1">
      <alignment horizontal="center" shrinkToFit="0" vertical="bottom" wrapText="1"/>
    </xf>
    <xf borderId="0" fillId="0" fontId="29" numFmtId="164" xfId="0" applyAlignment="1" applyFont="1" applyNumberFormat="1">
      <alignment horizontal="right" vertical="top"/>
    </xf>
    <xf borderId="17" fillId="0" fontId="16" numFmtId="0" xfId="0" applyAlignment="1" applyBorder="1" applyFont="1">
      <alignment horizontal="center" shrinkToFit="0" vertical="bottom" wrapText="1"/>
    </xf>
    <xf borderId="17" fillId="0" fontId="29" numFmtId="169" xfId="0" applyAlignment="1" applyBorder="1" applyFont="1" applyNumberFormat="1">
      <alignment horizontal="right" vertical="top"/>
    </xf>
    <xf borderId="18" fillId="12" fontId="2" numFmtId="0" xfId="0" applyAlignment="1" applyBorder="1" applyFont="1">
      <alignment vertical="top"/>
    </xf>
    <xf borderId="0" fillId="0" fontId="16" numFmtId="0" xfId="0" applyAlignment="1" applyFont="1">
      <alignment vertical="top"/>
    </xf>
    <xf borderId="19" fillId="2" fontId="2" numFmtId="165" xfId="0" applyBorder="1" applyFont="1" applyNumberFormat="1"/>
    <xf borderId="20" fillId="2" fontId="2" numFmtId="0" xfId="0" applyAlignment="1" applyBorder="1" applyFont="1">
      <alignment vertical="bottom"/>
    </xf>
    <xf quotePrefix="1" borderId="21" fillId="2" fontId="4" numFmtId="0" xfId="0" applyAlignment="1" applyBorder="1" applyFont="1">
      <alignment horizontal="center"/>
    </xf>
    <xf borderId="23" fillId="2" fontId="2" numFmtId="0" xfId="0" applyAlignment="1" applyBorder="1" applyFont="1">
      <alignment vertical="bottom"/>
    </xf>
    <xf borderId="18" fillId="0" fontId="18" numFmtId="0" xfId="0" applyAlignment="1" applyBorder="1" applyFont="1">
      <alignment vertical="top"/>
    </xf>
    <xf borderId="18" fillId="0" fontId="2" numFmtId="164" xfId="0" applyAlignment="1" applyBorder="1" applyFont="1" applyNumberFormat="1">
      <alignment vertical="top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vertical="top"/>
    </xf>
    <xf borderId="29" fillId="4" fontId="2" numFmtId="49" xfId="0" applyBorder="1" applyFont="1" applyNumberFormat="1"/>
    <xf borderId="28" fillId="4" fontId="2" numFmtId="49" xfId="0" applyBorder="1" applyFont="1" applyNumberFormat="1"/>
    <xf borderId="13" fillId="7" fontId="28" numFmtId="168" xfId="0" applyAlignment="1" applyBorder="1" applyFont="1" applyNumberFormat="1">
      <alignment horizontal="center"/>
    </xf>
    <xf borderId="13" fillId="19" fontId="28" numFmtId="168" xfId="0" applyAlignment="1" applyBorder="1" applyFill="1" applyFont="1" applyNumberFormat="1">
      <alignment horizontal="center"/>
    </xf>
    <xf borderId="18" fillId="19" fontId="2" numFmtId="0" xfId="0" applyAlignment="1" applyBorder="1" applyFont="1">
      <alignment vertical="top"/>
    </xf>
    <xf borderId="24" fillId="4" fontId="2" numFmtId="49" xfId="0" applyBorder="1" applyFont="1" applyNumberFormat="1"/>
    <xf borderId="25" fillId="4" fontId="2" numFmtId="49" xfId="0" applyBorder="1" applyFont="1" applyNumberFormat="1"/>
    <xf borderId="17" fillId="0" fontId="29" numFmtId="164" xfId="0" applyAlignment="1" applyBorder="1" applyFont="1" applyNumberFormat="1">
      <alignment horizontal="right" vertical="top"/>
    </xf>
    <xf borderId="13" fillId="8" fontId="2" numFmtId="168" xfId="0" applyBorder="1" applyFont="1" applyNumberFormat="1"/>
    <xf quotePrefix="1" borderId="26" fillId="2" fontId="4" numFmtId="0" xfId="0" applyAlignment="1" applyBorder="1" applyFont="1">
      <alignment horizontal="center"/>
    </xf>
    <xf borderId="13" fillId="20" fontId="2" numFmtId="168" xfId="0" applyBorder="1" applyFill="1" applyFont="1" applyNumberFormat="1"/>
    <xf borderId="0" fillId="0" fontId="2" numFmtId="165" xfId="0" applyFont="1" applyNumberFormat="1"/>
    <xf borderId="0" fillId="0" fontId="2" numFmtId="0" xfId="0" applyFont="1"/>
    <xf borderId="0" fillId="0" fontId="2" numFmtId="167" xfId="0" applyAlignment="1" applyFont="1" applyNumberFormat="1">
      <alignment vertical="bottom"/>
    </xf>
    <xf borderId="0" fillId="0" fontId="19" numFmtId="0" xfId="0" applyAlignment="1" applyFont="1">
      <alignment vertical="bottom"/>
    </xf>
    <xf borderId="32" fillId="4" fontId="2" numFmtId="49" xfId="0" applyBorder="1" applyFont="1" applyNumberFormat="1"/>
    <xf borderId="13" fillId="8" fontId="27" numFmtId="168" xfId="0" applyAlignment="1" applyBorder="1" applyFont="1" applyNumberFormat="1">
      <alignment horizontal="center"/>
    </xf>
    <xf borderId="30" fillId="17" fontId="2" numFmtId="0" xfId="0" applyAlignment="1" applyBorder="1" applyFont="1">
      <alignment vertical="bottom"/>
    </xf>
    <xf borderId="33" fillId="17" fontId="28" numFmtId="0" xfId="0" applyAlignment="1" applyBorder="1" applyFont="1">
      <alignment horizontal="center"/>
    </xf>
    <xf borderId="34" fillId="0" fontId="6" numFmtId="0" xfId="0" applyBorder="1" applyFont="1"/>
    <xf borderId="35" fillId="0" fontId="6" numFmtId="0" xfId="0" applyBorder="1" applyFont="1"/>
    <xf borderId="30" fillId="17" fontId="2" numFmtId="49" xfId="0" applyBorder="1" applyFont="1" applyNumberFormat="1"/>
    <xf borderId="30" fillId="17" fontId="2" numFmtId="0" xfId="0" applyBorder="1" applyFont="1"/>
    <xf borderId="30" fillId="17" fontId="2" numFmtId="168" xfId="0" applyBorder="1" applyFont="1" applyNumberFormat="1"/>
    <xf borderId="13" fillId="20" fontId="28" numFmtId="168" xfId="0" applyAlignment="1" applyBorder="1" applyFont="1" applyNumberFormat="1">
      <alignment horizontal="center"/>
    </xf>
    <xf borderId="13" fillId="0" fontId="28" numFmtId="168" xfId="0" applyAlignment="1" applyBorder="1" applyFont="1" applyNumberFormat="1">
      <alignment horizontal="center"/>
    </xf>
    <xf borderId="13" fillId="17" fontId="28" numFmtId="168" xfId="0" applyAlignment="1" applyBorder="1" applyFont="1" applyNumberFormat="1">
      <alignment horizontal="center"/>
    </xf>
    <xf borderId="0" fillId="0" fontId="29" numFmtId="0" xfId="0" applyAlignment="1" applyFont="1">
      <alignment horizontal="right" vertical="top"/>
    </xf>
    <xf borderId="17" fillId="0" fontId="2" numFmtId="164" xfId="0" applyAlignment="1" applyBorder="1" applyFont="1" applyNumberFormat="1">
      <alignment vertical="top"/>
    </xf>
    <xf borderId="0" fillId="0" fontId="25" numFmtId="0" xfId="0" applyAlignment="1" applyFont="1">
      <alignment horizontal="center" readingOrder="0" shrinkToFit="0" vertical="top" wrapText="1"/>
    </xf>
    <xf quotePrefix="1" borderId="3" fillId="2" fontId="4" numFmtId="0" xfId="0" applyAlignment="1" applyBorder="1" applyFont="1">
      <alignment horizontal="center" readingOrder="0"/>
    </xf>
    <xf quotePrefix="1" borderId="21" fillId="2" fontId="4" numFmtId="0" xfId="0" applyAlignment="1" applyBorder="1" applyFont="1">
      <alignment horizontal="center" readingOrder="0"/>
    </xf>
    <xf borderId="18" fillId="19" fontId="2" numFmtId="168" xfId="0" applyAlignment="1" applyBorder="1" applyFont="1" applyNumberFormat="1">
      <alignment vertical="top"/>
    </xf>
    <xf quotePrefix="1" borderId="26" fillId="2" fontId="4" numFmtId="0" xfId="0" applyAlignment="1" applyBorder="1" applyFont="1">
      <alignment horizontal="center" readingOrder="0"/>
    </xf>
    <xf borderId="0" fillId="0" fontId="2" numFmtId="168" xfId="0" applyAlignment="1" applyFont="1" applyNumberFormat="1">
      <alignment vertical="bottom"/>
    </xf>
    <xf borderId="0" fillId="0" fontId="2" numFmtId="0" xfId="0" applyAlignment="1" applyFont="1">
      <alignment shrinkToFit="0" wrapText="1"/>
    </xf>
    <xf borderId="13" fillId="20" fontId="27" numFmtId="168" xfId="0" applyAlignment="1" applyBorder="1" applyFont="1" applyNumberFormat="1">
      <alignment horizontal="center"/>
    </xf>
    <xf borderId="13" fillId="15" fontId="28" numFmtId="168" xfId="0" applyAlignment="1" applyBorder="1" applyFont="1" applyNumberFormat="1">
      <alignment horizontal="center" vertical="center"/>
    </xf>
    <xf borderId="13" fillId="0" fontId="28" numFmtId="168" xfId="0" applyAlignment="1" applyBorder="1" applyFont="1" applyNumberFormat="1">
      <alignment horizontal="center" vertical="center"/>
    </xf>
    <xf borderId="13" fillId="11" fontId="28" numFmtId="168" xfId="0" applyAlignment="1" applyBorder="1" applyFont="1" applyNumberFormat="1">
      <alignment horizontal="center" vertical="center"/>
    </xf>
    <xf borderId="13" fillId="14" fontId="27" numFmtId="168" xfId="0" applyAlignment="1" applyBorder="1" applyFont="1" applyNumberFormat="1">
      <alignment horizontal="center" vertical="center"/>
    </xf>
    <xf borderId="13" fillId="19" fontId="28" numFmtId="168" xfId="0" applyAlignment="1" applyBorder="1" applyFont="1" applyNumberFormat="1">
      <alignment horizontal="center" vertical="center"/>
    </xf>
    <xf borderId="13" fillId="7" fontId="28" numFmtId="168" xfId="0" applyAlignment="1" applyBorder="1" applyFont="1" applyNumberFormat="1">
      <alignment horizontal="center" vertical="center"/>
    </xf>
    <xf borderId="13" fillId="11" fontId="11" numFmtId="168" xfId="0" applyAlignment="1" applyBorder="1" applyFont="1" applyNumberFormat="1">
      <alignment horizontal="center" readingOrder="0" shrinkToFit="1" vertical="center" wrapText="0"/>
    </xf>
    <xf borderId="13" fillId="15" fontId="11" numFmtId="168" xfId="0" applyAlignment="1" applyBorder="1" applyFont="1" applyNumberFormat="1">
      <alignment horizontal="center" readingOrder="0" shrinkToFit="1" vertical="center" wrapText="0"/>
    </xf>
    <xf borderId="13" fillId="0" fontId="11" numFmtId="168" xfId="0" applyAlignment="1" applyBorder="1" applyFont="1" applyNumberFormat="1">
      <alignment horizontal="center" readingOrder="0" shrinkToFit="1" vertical="center" wrapText="0"/>
    </xf>
    <xf borderId="13" fillId="20" fontId="28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>
        <b/>
        <color theme="0"/>
      </font>
      <fill>
        <patternFill patternType="solid">
          <fgColor theme="9"/>
          <bgColor theme="9"/>
        </patternFill>
      </fill>
      <border/>
    </dxf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29450" cy="1676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29450" cy="1676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24850" cy="1990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24850" cy="19907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29450" cy="1676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29450" cy="1676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29450" cy="1676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8" width="6.71"/>
    <col customWidth="1" min="9" max="9" width="4.71"/>
    <col customWidth="1" min="10" max="16" width="6.71"/>
    <col customWidth="1" min="17" max="17" width="3.86"/>
    <col customWidth="1" min="18" max="18" width="8.71"/>
    <col customWidth="1" min="19" max="19" width="5.86"/>
    <col customWidth="1" min="20" max="20" width="17.14"/>
    <col customWidth="1" min="21" max="21" width="9.43"/>
    <col customWidth="1" min="22" max="22" width="8.14"/>
    <col customWidth="1" min="23" max="23" width="16.71"/>
    <col customWidth="1" min="24" max="24" width="19.29"/>
    <col customWidth="1" min="25" max="31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2"/>
      <c r="S1" s="2"/>
      <c r="T1" s="2"/>
      <c r="U1" s="2"/>
      <c r="V1" s="2"/>
      <c r="W1" s="2"/>
      <c r="X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2"/>
      <c r="S2" s="2"/>
      <c r="T2" s="2"/>
      <c r="U2" s="2"/>
      <c r="V2" s="2"/>
      <c r="W2" s="2"/>
      <c r="X2" s="2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2"/>
      <c r="S3" s="2"/>
      <c r="T3" s="2"/>
      <c r="U3" s="2"/>
      <c r="V3" s="2"/>
      <c r="W3" s="2"/>
      <c r="X3" s="2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2"/>
      <c r="S4" s="2"/>
      <c r="T4" s="2"/>
      <c r="U4" s="2"/>
      <c r="V4" s="2"/>
      <c r="W4" s="2"/>
      <c r="X4" s="2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2"/>
      <c r="S5" s="2"/>
      <c r="T5" s="2"/>
      <c r="U5" s="2"/>
      <c r="V5" s="2"/>
      <c r="W5" s="2"/>
      <c r="X5" s="2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2"/>
      <c r="S6" s="2"/>
      <c r="T6" s="2"/>
      <c r="U6" s="2"/>
      <c r="V6" s="2"/>
      <c r="W6" s="2"/>
      <c r="X6" s="2"/>
    </row>
    <row r="7">
      <c r="B7" s="4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2"/>
      <c r="S7" s="2"/>
      <c r="T7" s="2"/>
      <c r="U7" s="2"/>
      <c r="V7" s="2"/>
      <c r="W7" s="2"/>
      <c r="X7" s="2"/>
    </row>
    <row r="8"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2"/>
      <c r="S8" s="2"/>
      <c r="T8" s="2"/>
      <c r="U8" s="2"/>
      <c r="V8" s="2"/>
      <c r="W8" s="2"/>
      <c r="X8" s="2"/>
    </row>
    <row r="9"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2"/>
      <c r="S9" s="2"/>
      <c r="T9" s="2"/>
      <c r="U9" s="2"/>
      <c r="V9" s="2"/>
      <c r="W9" s="2"/>
      <c r="X9" s="2"/>
    </row>
    <row r="10">
      <c r="B10" s="1"/>
      <c r="D10" s="1"/>
      <c r="R10" s="2"/>
      <c r="S10" s="2"/>
      <c r="T10" s="2"/>
      <c r="U10" s="2"/>
      <c r="V10" s="2"/>
      <c r="W10" s="2"/>
      <c r="X10" s="2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2"/>
      <c r="S11" s="2"/>
      <c r="T11" s="2"/>
      <c r="U11" s="2"/>
      <c r="V11" s="2"/>
      <c r="W11" s="2"/>
      <c r="X11" s="2"/>
    </row>
    <row r="12">
      <c r="B12" s="5"/>
      <c r="C12" s="6"/>
      <c r="D12" s="7" t="s">
        <v>0</v>
      </c>
      <c r="E12" s="8"/>
      <c r="F12" s="8"/>
      <c r="G12" s="6"/>
      <c r="H12" s="9"/>
      <c r="J12" s="10"/>
      <c r="K12" s="6"/>
      <c r="L12" s="7" t="s">
        <v>1</v>
      </c>
      <c r="M12" s="8"/>
      <c r="N12" s="8"/>
      <c r="O12" s="6"/>
      <c r="P12" s="11"/>
      <c r="R12" s="12"/>
      <c r="S12" s="13" t="s">
        <v>2</v>
      </c>
      <c r="T12" s="14"/>
      <c r="U12" s="14"/>
      <c r="V12" s="14"/>
      <c r="W12" s="14"/>
      <c r="X12" s="14"/>
    </row>
    <row r="13">
      <c r="B13" s="15" t="s">
        <v>3</v>
      </c>
      <c r="C13" s="16" t="s">
        <v>4</v>
      </c>
      <c r="D13" s="16" t="s">
        <v>5</v>
      </c>
      <c r="E13" s="16" t="s">
        <v>6</v>
      </c>
      <c r="F13" s="16" t="s">
        <v>7</v>
      </c>
      <c r="G13" s="16" t="s">
        <v>8</v>
      </c>
      <c r="H13" s="17" t="s">
        <v>9</v>
      </c>
      <c r="J13" s="15" t="s">
        <v>3</v>
      </c>
      <c r="K13" s="16" t="s">
        <v>4</v>
      </c>
      <c r="L13" s="16" t="s">
        <v>5</v>
      </c>
      <c r="M13" s="16" t="s">
        <v>6</v>
      </c>
      <c r="N13" s="16" t="s">
        <v>7</v>
      </c>
      <c r="O13" s="16" t="s">
        <v>8</v>
      </c>
      <c r="P13" s="17" t="s">
        <v>9</v>
      </c>
      <c r="R13" s="12"/>
      <c r="S13" s="14"/>
      <c r="T13" s="14"/>
      <c r="U13" s="14"/>
      <c r="V13" s="14"/>
      <c r="W13" s="14"/>
      <c r="X13" s="14"/>
    </row>
    <row r="14">
      <c r="B14" s="18"/>
      <c r="C14" s="18"/>
      <c r="D14" s="18"/>
      <c r="E14" s="18"/>
      <c r="F14" s="19">
        <v>45658.0</v>
      </c>
      <c r="G14" s="20">
        <v>2.0</v>
      </c>
      <c r="H14" s="21">
        <v>3.0</v>
      </c>
      <c r="J14" s="19">
        <v>45658.0</v>
      </c>
      <c r="K14" s="22">
        <v>2.0</v>
      </c>
      <c r="L14" s="22">
        <v>3.0</v>
      </c>
      <c r="M14" s="23">
        <v>4.0</v>
      </c>
      <c r="N14" s="22">
        <v>5.0</v>
      </c>
      <c r="O14" s="23">
        <v>6.0</v>
      </c>
      <c r="P14" s="24">
        <v>7.0</v>
      </c>
      <c r="R14" s="12"/>
      <c r="S14" s="25"/>
      <c r="T14" s="14" t="s">
        <v>10</v>
      </c>
      <c r="U14" s="14"/>
      <c r="V14" s="14"/>
      <c r="W14" s="14"/>
      <c r="X14" s="14"/>
      <c r="Z14" s="26" t="s">
        <v>11</v>
      </c>
    </row>
    <row r="15">
      <c r="B15" s="21">
        <v>4.0</v>
      </c>
      <c r="C15" s="20">
        <v>5.0</v>
      </c>
      <c r="D15" s="20">
        <v>6.0</v>
      </c>
      <c r="E15" s="20">
        <v>7.0</v>
      </c>
      <c r="F15" s="20">
        <v>8.0</v>
      </c>
      <c r="G15" s="20">
        <v>9.0</v>
      </c>
      <c r="H15" s="21">
        <v>10.0</v>
      </c>
      <c r="J15" s="24">
        <v>8.0</v>
      </c>
      <c r="K15" s="22">
        <v>9.0</v>
      </c>
      <c r="L15" s="22">
        <v>10.0</v>
      </c>
      <c r="M15" s="23">
        <v>11.0</v>
      </c>
      <c r="N15" s="22">
        <v>12.0</v>
      </c>
      <c r="O15" s="23">
        <v>13.0</v>
      </c>
      <c r="P15" s="24">
        <v>14.0</v>
      </c>
      <c r="Q15" s="27" t="s">
        <v>12</v>
      </c>
      <c r="R15" s="12"/>
      <c r="S15" s="14"/>
      <c r="T15" s="14"/>
      <c r="U15" s="14"/>
      <c r="V15" s="14"/>
      <c r="W15" s="14"/>
      <c r="X15" s="14"/>
      <c r="Z15" s="2"/>
    </row>
    <row r="16">
      <c r="B16" s="21">
        <v>11.0</v>
      </c>
      <c r="C16" s="20">
        <v>12.0</v>
      </c>
      <c r="D16" s="20">
        <v>13.0</v>
      </c>
      <c r="E16" s="20">
        <v>14.0</v>
      </c>
      <c r="F16" s="20">
        <v>15.0</v>
      </c>
      <c r="G16" s="20">
        <v>16.0</v>
      </c>
      <c r="H16" s="21">
        <v>17.0</v>
      </c>
      <c r="J16" s="24">
        <v>15.0</v>
      </c>
      <c r="K16" s="24">
        <v>16.0</v>
      </c>
      <c r="L16" s="24">
        <v>17.0</v>
      </c>
      <c r="M16" s="23">
        <v>18.0</v>
      </c>
      <c r="N16" s="22">
        <v>19.0</v>
      </c>
      <c r="O16" s="23">
        <v>20.0</v>
      </c>
      <c r="P16" s="24">
        <v>21.0</v>
      </c>
      <c r="R16" s="12"/>
      <c r="S16" s="28"/>
      <c r="T16" s="14" t="s">
        <v>13</v>
      </c>
      <c r="U16" s="14"/>
      <c r="V16" s="14"/>
      <c r="W16" s="14"/>
      <c r="X16" s="14"/>
      <c r="Z16" s="26" t="s">
        <v>14</v>
      </c>
    </row>
    <row r="17">
      <c r="B17" s="21">
        <v>18.0</v>
      </c>
      <c r="C17" s="20">
        <v>19.0</v>
      </c>
      <c r="D17" s="20">
        <v>20.0</v>
      </c>
      <c r="E17" s="20">
        <v>21.0</v>
      </c>
      <c r="F17" s="20">
        <v>22.0</v>
      </c>
      <c r="G17" s="20">
        <v>23.0</v>
      </c>
      <c r="H17" s="21">
        <v>24.0</v>
      </c>
      <c r="J17" s="24">
        <v>22.0</v>
      </c>
      <c r="K17" s="22">
        <v>23.0</v>
      </c>
      <c r="L17" s="22">
        <v>24.0</v>
      </c>
      <c r="M17" s="23">
        <v>25.0</v>
      </c>
      <c r="N17" s="22">
        <v>26.0</v>
      </c>
      <c r="O17" s="23">
        <v>27.0</v>
      </c>
      <c r="P17" s="24">
        <v>28.0</v>
      </c>
      <c r="R17" s="12"/>
      <c r="S17" s="14"/>
      <c r="T17" s="14"/>
      <c r="U17" s="14"/>
      <c r="V17" s="14"/>
      <c r="W17" s="14"/>
      <c r="X17" s="14"/>
      <c r="Z17" s="2"/>
    </row>
    <row r="18">
      <c r="B18" s="24">
        <v>25.0</v>
      </c>
      <c r="C18" s="29">
        <v>26.0</v>
      </c>
      <c r="D18" s="29">
        <v>27.0</v>
      </c>
      <c r="E18" s="29">
        <v>28.0</v>
      </c>
      <c r="F18" s="29">
        <v>29.0</v>
      </c>
      <c r="G18" s="29">
        <v>30.0</v>
      </c>
      <c r="H18" s="21">
        <v>31.0</v>
      </c>
      <c r="J18" s="30"/>
      <c r="K18" s="30"/>
      <c r="L18" s="30"/>
      <c r="M18" s="30"/>
      <c r="N18" s="30"/>
      <c r="O18" s="30"/>
      <c r="P18" s="30"/>
      <c r="R18" s="12"/>
      <c r="S18" s="31"/>
      <c r="T18" s="14" t="s">
        <v>15</v>
      </c>
      <c r="U18" s="14"/>
      <c r="V18" s="14"/>
      <c r="W18" s="14"/>
      <c r="X18" s="14"/>
      <c r="Z18" s="26" t="s">
        <v>16</v>
      </c>
    </row>
    <row r="19">
      <c r="B19" s="32"/>
      <c r="C19" s="32"/>
      <c r="D19" s="32"/>
      <c r="E19" s="33"/>
      <c r="F19" s="33"/>
      <c r="G19" s="33"/>
      <c r="H19" s="33"/>
      <c r="J19" s="32"/>
      <c r="K19" s="32"/>
      <c r="L19" s="32"/>
      <c r="M19" s="34" t="s">
        <v>17</v>
      </c>
      <c r="O19" s="35">
        <f>"1:40"*12+"2:30"*8</f>
        <v>1.666666667</v>
      </c>
      <c r="P19" s="33"/>
      <c r="R19" s="12"/>
      <c r="S19" s="14"/>
      <c r="T19" s="14"/>
      <c r="U19" s="14"/>
      <c r="V19" s="14"/>
      <c r="W19" s="14"/>
      <c r="X19" s="14"/>
      <c r="Z19" s="2"/>
    </row>
    <row r="20">
      <c r="B20" s="36"/>
      <c r="C20" s="36"/>
      <c r="D20" s="36"/>
      <c r="E20" s="36"/>
      <c r="F20" s="36"/>
      <c r="G20" s="36"/>
      <c r="H20" s="36"/>
      <c r="J20" s="36"/>
      <c r="K20" s="36"/>
      <c r="L20" s="36"/>
      <c r="M20" s="37" t="s">
        <v>18</v>
      </c>
      <c r="N20" s="38"/>
      <c r="O20" s="39">
        <f>"4:00"*20</f>
        <v>3.333333333</v>
      </c>
      <c r="P20" s="36"/>
      <c r="R20" s="12"/>
      <c r="S20" s="40"/>
      <c r="T20" s="41" t="s">
        <v>19</v>
      </c>
      <c r="U20" s="14"/>
      <c r="V20" s="14"/>
      <c r="W20" s="14"/>
      <c r="X20" s="14"/>
      <c r="Z20" s="26" t="s">
        <v>20</v>
      </c>
    </row>
    <row r="21">
      <c r="B21" s="42"/>
      <c r="C21" s="43"/>
      <c r="D21" s="44" t="s">
        <v>21</v>
      </c>
      <c r="E21" s="45"/>
      <c r="F21" s="45"/>
      <c r="G21" s="43"/>
      <c r="H21" s="46"/>
      <c r="J21" s="42"/>
      <c r="K21" s="43"/>
      <c r="L21" s="44" t="s">
        <v>22</v>
      </c>
      <c r="M21" s="45"/>
      <c r="N21" s="45"/>
      <c r="O21" s="43"/>
      <c r="P21" s="46"/>
      <c r="R21" s="12"/>
      <c r="S21" s="14"/>
      <c r="T21" s="14"/>
      <c r="U21" s="14"/>
      <c r="V21" s="14"/>
      <c r="W21" s="2"/>
      <c r="X21" s="2"/>
    </row>
    <row r="22">
      <c r="B22" s="15" t="s">
        <v>3</v>
      </c>
      <c r="C22" s="16" t="s">
        <v>4</v>
      </c>
      <c r="D22" s="16" t="s">
        <v>5</v>
      </c>
      <c r="E22" s="16" t="s">
        <v>6</v>
      </c>
      <c r="F22" s="16" t="s">
        <v>7</v>
      </c>
      <c r="G22" s="16" t="s">
        <v>8</v>
      </c>
      <c r="H22" s="17" t="s">
        <v>9</v>
      </c>
      <c r="J22" s="15" t="s">
        <v>3</v>
      </c>
      <c r="K22" s="16" t="s">
        <v>4</v>
      </c>
      <c r="L22" s="16" t="s">
        <v>5</v>
      </c>
      <c r="M22" s="16" t="s">
        <v>6</v>
      </c>
      <c r="N22" s="16" t="s">
        <v>7</v>
      </c>
      <c r="O22" s="16" t="s">
        <v>8</v>
      </c>
      <c r="P22" s="17" t="s">
        <v>9</v>
      </c>
      <c r="R22" s="12"/>
      <c r="S22" s="47"/>
      <c r="T22" s="48" t="s">
        <v>23</v>
      </c>
      <c r="U22" s="14"/>
      <c r="V22" s="14"/>
      <c r="W22" s="2"/>
      <c r="X22" s="2"/>
    </row>
    <row r="23">
      <c r="B23" s="19">
        <v>45658.0</v>
      </c>
      <c r="C23" s="22">
        <v>2.0</v>
      </c>
      <c r="D23" s="22">
        <v>3.0</v>
      </c>
      <c r="E23" s="23">
        <v>4.0</v>
      </c>
      <c r="F23" s="22">
        <v>5.0</v>
      </c>
      <c r="G23" s="23">
        <v>6.0</v>
      </c>
      <c r="H23" s="24">
        <v>7.0</v>
      </c>
      <c r="J23" s="18"/>
      <c r="K23" s="18"/>
      <c r="L23" s="18"/>
      <c r="M23" s="49">
        <v>45931.0</v>
      </c>
      <c r="N23" s="49">
        <v>45932.0</v>
      </c>
      <c r="O23" s="50">
        <v>45933.0</v>
      </c>
      <c r="P23" s="50">
        <v>45934.0</v>
      </c>
      <c r="R23" s="12"/>
      <c r="S23" s="2"/>
      <c r="T23" s="2"/>
      <c r="U23" s="14"/>
      <c r="V23" s="14"/>
      <c r="W23" s="2"/>
      <c r="X23" s="2"/>
    </row>
    <row r="24">
      <c r="B24" s="24">
        <v>8.0</v>
      </c>
      <c r="C24" s="22">
        <v>9.0</v>
      </c>
      <c r="D24" s="22">
        <v>10.0</v>
      </c>
      <c r="E24" s="23">
        <v>11.0</v>
      </c>
      <c r="F24" s="22">
        <v>12.0</v>
      </c>
      <c r="G24" s="23">
        <v>13.0</v>
      </c>
      <c r="H24" s="24">
        <v>14.0</v>
      </c>
      <c r="I24" s="51"/>
      <c r="J24" s="50">
        <v>45935.0</v>
      </c>
      <c r="K24" s="49">
        <v>45936.0</v>
      </c>
      <c r="L24" s="49">
        <v>45937.0</v>
      </c>
      <c r="M24" s="49">
        <v>45938.0</v>
      </c>
      <c r="N24" s="49">
        <v>45939.0</v>
      </c>
      <c r="O24" s="49">
        <v>45940.0</v>
      </c>
      <c r="P24" s="50">
        <v>45941.0</v>
      </c>
      <c r="R24" s="12"/>
      <c r="S24" s="52"/>
      <c r="T24" s="53" t="s">
        <v>24</v>
      </c>
      <c r="X24" s="2"/>
    </row>
    <row r="25">
      <c r="B25" s="24">
        <v>15.0</v>
      </c>
      <c r="C25" s="22">
        <v>16.0</v>
      </c>
      <c r="D25" s="22">
        <v>17.0</v>
      </c>
      <c r="E25" s="23">
        <v>18.0</v>
      </c>
      <c r="F25" s="22">
        <v>19.0</v>
      </c>
      <c r="G25" s="23">
        <v>20.0</v>
      </c>
      <c r="H25" s="24">
        <v>21.0</v>
      </c>
      <c r="I25" s="51"/>
      <c r="J25" s="50">
        <v>45942.0</v>
      </c>
      <c r="K25" s="49">
        <v>45943.0</v>
      </c>
      <c r="L25" s="49">
        <v>45944.0</v>
      </c>
      <c r="M25" s="49">
        <v>45945.0</v>
      </c>
      <c r="N25" s="49">
        <v>45946.0</v>
      </c>
      <c r="O25" s="49">
        <v>45947.0</v>
      </c>
      <c r="P25" s="50">
        <v>45948.0</v>
      </c>
      <c r="R25" s="12"/>
      <c r="S25" s="14"/>
      <c r="X25" s="2"/>
    </row>
    <row r="26">
      <c r="B26" s="24">
        <v>22.0</v>
      </c>
      <c r="C26" s="22">
        <v>23.0</v>
      </c>
      <c r="D26" s="22">
        <v>24.0</v>
      </c>
      <c r="E26" s="23">
        <v>25.0</v>
      </c>
      <c r="F26" s="22">
        <v>26.0</v>
      </c>
      <c r="G26" s="23">
        <v>27.0</v>
      </c>
      <c r="H26" s="24">
        <v>28.0</v>
      </c>
      <c r="I26" s="51"/>
      <c r="J26" s="50">
        <v>45949.0</v>
      </c>
      <c r="K26" s="49">
        <v>45950.0</v>
      </c>
      <c r="L26" s="50">
        <v>45951.0</v>
      </c>
      <c r="M26" s="49">
        <v>45952.0</v>
      </c>
      <c r="N26" s="49">
        <v>45953.0</v>
      </c>
      <c r="O26" s="49">
        <v>45954.0</v>
      </c>
      <c r="P26" s="50">
        <v>45955.0</v>
      </c>
      <c r="R26" s="54"/>
      <c r="S26" s="55"/>
      <c r="T26" s="53" t="s">
        <v>25</v>
      </c>
      <c r="U26" s="14"/>
      <c r="V26" s="14"/>
      <c r="W26" s="14"/>
      <c r="X26" s="14"/>
    </row>
    <row r="27">
      <c r="B27" s="24">
        <v>29.0</v>
      </c>
      <c r="C27" s="22">
        <v>30.0</v>
      </c>
      <c r="D27" s="22">
        <v>31.0</v>
      </c>
      <c r="E27" s="56"/>
      <c r="F27" s="56"/>
      <c r="G27" s="56"/>
      <c r="H27" s="56"/>
      <c r="I27" s="51"/>
      <c r="J27" s="50">
        <v>45956.0</v>
      </c>
      <c r="K27" s="49">
        <v>45957.0</v>
      </c>
      <c r="L27" s="49">
        <v>45958.0</v>
      </c>
      <c r="M27" s="49">
        <v>45959.0</v>
      </c>
      <c r="N27" s="49">
        <v>45960.0</v>
      </c>
      <c r="O27" s="57"/>
      <c r="P27" s="57"/>
      <c r="R27" s="54"/>
      <c r="S27" s="14"/>
      <c r="T27" s="2"/>
      <c r="U27" s="14"/>
      <c r="V27" s="14"/>
      <c r="W27" s="14"/>
      <c r="X27" s="14"/>
    </row>
    <row r="28">
      <c r="B28" s="36"/>
      <c r="C28" s="36"/>
      <c r="D28" s="36"/>
      <c r="E28" s="34" t="s">
        <v>17</v>
      </c>
      <c r="G28" s="35"/>
      <c r="H28" s="36"/>
      <c r="J28" s="36"/>
      <c r="K28" s="36"/>
      <c r="L28" s="36"/>
      <c r="M28" s="36"/>
      <c r="N28" s="34" t="s">
        <v>17</v>
      </c>
      <c r="P28" s="58"/>
      <c r="R28" s="54"/>
      <c r="S28" s="59"/>
      <c r="T28" s="2" t="s">
        <v>26</v>
      </c>
      <c r="U28" s="14"/>
      <c r="V28" s="14"/>
      <c r="W28" s="14"/>
      <c r="X28" s="14"/>
    </row>
    <row r="29">
      <c r="B29" s="36"/>
      <c r="C29" s="36"/>
      <c r="D29" s="36"/>
      <c r="E29" s="37" t="s">
        <v>18</v>
      </c>
      <c r="F29" s="38"/>
      <c r="G29" s="60"/>
      <c r="H29" s="36"/>
      <c r="N29" s="37" t="s">
        <v>18</v>
      </c>
      <c r="O29" s="38"/>
      <c r="P29" s="39"/>
      <c r="R29" s="54"/>
      <c r="S29" s="2"/>
      <c r="T29" s="54"/>
      <c r="U29" s="61"/>
      <c r="V29" s="14"/>
      <c r="W29" s="14"/>
      <c r="X29" s="14"/>
    </row>
    <row r="30" ht="15.75" customHeight="1">
      <c r="J30" s="36"/>
      <c r="K30" s="36"/>
      <c r="L30" s="36"/>
      <c r="M30" s="36"/>
      <c r="R30" s="54"/>
      <c r="S30" s="2"/>
      <c r="T30" s="62" t="s">
        <v>27</v>
      </c>
      <c r="U30" s="63">
        <f>SUM(O19+G28+P28+H38+P38+H48+O49+H58+P58+H69+P69)</f>
        <v>1.666666667</v>
      </c>
      <c r="V30" s="14"/>
      <c r="W30" s="14"/>
      <c r="X30" s="14"/>
    </row>
    <row r="31" ht="15.75" customHeight="1">
      <c r="B31" s="42"/>
      <c r="C31" s="43"/>
      <c r="D31" s="64" t="s">
        <v>28</v>
      </c>
      <c r="E31" s="65"/>
      <c r="F31" s="65"/>
      <c r="G31" s="43"/>
      <c r="H31" s="46"/>
      <c r="J31" s="42"/>
      <c r="K31" s="43"/>
      <c r="L31" s="64" t="s">
        <v>29</v>
      </c>
      <c r="M31" s="65"/>
      <c r="N31" s="65"/>
      <c r="O31" s="43"/>
      <c r="P31" s="46"/>
      <c r="R31" s="54"/>
      <c r="S31" s="2"/>
      <c r="T31" s="14"/>
      <c r="U31" s="61"/>
      <c r="V31" s="14"/>
      <c r="W31" s="14"/>
      <c r="X31" s="14"/>
    </row>
    <row r="32" ht="15.75" customHeight="1">
      <c r="B32" s="15" t="s">
        <v>3</v>
      </c>
      <c r="C32" s="16" t="s">
        <v>4</v>
      </c>
      <c r="D32" s="16" t="s">
        <v>5</v>
      </c>
      <c r="E32" s="16" t="s">
        <v>6</v>
      </c>
      <c r="F32" s="16" t="s">
        <v>7</v>
      </c>
      <c r="G32" s="16" t="s">
        <v>8</v>
      </c>
      <c r="H32" s="17" t="s">
        <v>9</v>
      </c>
      <c r="J32" s="15" t="s">
        <v>3</v>
      </c>
      <c r="K32" s="16" t="s">
        <v>4</v>
      </c>
      <c r="L32" s="16" t="s">
        <v>5</v>
      </c>
      <c r="M32" s="16" t="s">
        <v>6</v>
      </c>
      <c r="N32" s="16" t="s">
        <v>7</v>
      </c>
      <c r="O32" s="16" t="s">
        <v>8</v>
      </c>
      <c r="P32" s="17" t="s">
        <v>9</v>
      </c>
      <c r="R32" s="54"/>
      <c r="S32" s="2"/>
      <c r="T32" s="62" t="s">
        <v>30</v>
      </c>
      <c r="U32" s="63">
        <f>SUM(O20+G29+P29+H39+P39+H49+O50+H59+P59+H70+P70)</f>
        <v>3.333333333</v>
      </c>
      <c r="V32" s="14"/>
      <c r="W32" s="14"/>
      <c r="X32" s="14"/>
    </row>
    <row r="33" ht="15.75" customHeight="1">
      <c r="B33" s="30"/>
      <c r="C33" s="66"/>
      <c r="D33" s="66"/>
      <c r="E33" s="66"/>
      <c r="F33" s="66"/>
      <c r="G33" s="50">
        <v>45870.0</v>
      </c>
      <c r="H33" s="50">
        <v>45871.0</v>
      </c>
      <c r="J33" s="18"/>
      <c r="K33" s="49">
        <v>45901.0</v>
      </c>
      <c r="L33" s="49">
        <v>45902.0</v>
      </c>
      <c r="M33" s="49">
        <v>45903.0</v>
      </c>
      <c r="N33" s="50">
        <v>45904.0</v>
      </c>
      <c r="O33" s="49">
        <v>45905.0</v>
      </c>
      <c r="P33" s="50">
        <v>45906.0</v>
      </c>
      <c r="R33" s="54"/>
      <c r="S33" s="2"/>
      <c r="T33" s="26"/>
      <c r="U33" s="26"/>
      <c r="V33" s="2"/>
      <c r="W33" s="67"/>
      <c r="X33" s="67"/>
    </row>
    <row r="34" ht="15.75" customHeight="1">
      <c r="B34" s="50">
        <v>45872.0</v>
      </c>
      <c r="C34" s="49">
        <v>45873.0</v>
      </c>
      <c r="D34" s="49">
        <v>45874.0</v>
      </c>
      <c r="E34" s="49">
        <v>45875.0</v>
      </c>
      <c r="F34" s="49">
        <v>45876.0</v>
      </c>
      <c r="G34" s="49">
        <v>45877.0</v>
      </c>
      <c r="H34" s="50">
        <v>45878.0</v>
      </c>
      <c r="I34" s="67"/>
      <c r="J34" s="50">
        <v>45907.0</v>
      </c>
      <c r="K34" s="49">
        <v>45908.0</v>
      </c>
      <c r="L34" s="49">
        <v>45909.0</v>
      </c>
      <c r="M34" s="49">
        <v>45910.0</v>
      </c>
      <c r="N34" s="49">
        <v>45911.0</v>
      </c>
      <c r="O34" s="49">
        <v>45912.0</v>
      </c>
      <c r="P34" s="50">
        <v>45913.0</v>
      </c>
      <c r="R34" s="54"/>
      <c r="S34" s="2"/>
      <c r="T34" s="68" t="s">
        <v>31</v>
      </c>
      <c r="U34" s="63">
        <f>SUM(U30+U32)</f>
        <v>5</v>
      </c>
      <c r="V34" s="2"/>
    </row>
    <row r="35" ht="15.75" customHeight="1">
      <c r="B35" s="50">
        <v>45879.0</v>
      </c>
      <c r="C35" s="49">
        <v>45880.0</v>
      </c>
      <c r="D35" s="49">
        <v>45881.0</v>
      </c>
      <c r="E35" s="49">
        <v>45882.0</v>
      </c>
      <c r="F35" s="49">
        <v>45883.0</v>
      </c>
      <c r="G35" s="49">
        <v>45884.0</v>
      </c>
      <c r="H35" s="50">
        <v>45885.0</v>
      </c>
      <c r="I35" s="67"/>
      <c r="J35" s="50">
        <v>45914.0</v>
      </c>
      <c r="K35" s="49">
        <v>45915.0</v>
      </c>
      <c r="L35" s="49">
        <v>45916.0</v>
      </c>
      <c r="M35" s="49">
        <v>45917.0</v>
      </c>
      <c r="N35" s="49">
        <v>45918.0</v>
      </c>
      <c r="O35" s="49">
        <v>45919.0</v>
      </c>
      <c r="P35" s="50">
        <v>45920.0</v>
      </c>
      <c r="R35" s="54"/>
      <c r="S35" s="2"/>
      <c r="T35" s="2"/>
      <c r="U35" s="2"/>
      <c r="V35" s="2"/>
    </row>
    <row r="36" ht="15.75" customHeight="1">
      <c r="B36" s="50">
        <v>45886.0</v>
      </c>
      <c r="C36" s="49">
        <v>45887.0</v>
      </c>
      <c r="D36" s="49">
        <v>45888.0</v>
      </c>
      <c r="E36" s="49">
        <v>45889.0</v>
      </c>
      <c r="F36" s="49">
        <v>45890.0</v>
      </c>
      <c r="G36" s="49">
        <v>45891.0</v>
      </c>
      <c r="H36" s="50">
        <v>45892.0</v>
      </c>
      <c r="I36" s="67"/>
      <c r="J36" s="50">
        <v>45921.0</v>
      </c>
      <c r="K36" s="49">
        <v>45922.0</v>
      </c>
      <c r="L36" s="49">
        <v>45923.0</v>
      </c>
      <c r="M36" s="49">
        <v>45924.0</v>
      </c>
      <c r="N36" s="49">
        <v>45925.0</v>
      </c>
      <c r="O36" s="49">
        <v>45926.0</v>
      </c>
      <c r="P36" s="50">
        <v>45927.0</v>
      </c>
      <c r="R36" s="54"/>
      <c r="S36" s="69"/>
      <c r="T36" s="2"/>
      <c r="U36" s="2"/>
      <c r="V36" s="2"/>
      <c r="W36" s="2"/>
      <c r="X36" s="2"/>
    </row>
    <row r="37" ht="15.75" customHeight="1">
      <c r="B37" s="50">
        <v>45893.0</v>
      </c>
      <c r="C37" s="49">
        <v>45894.0</v>
      </c>
      <c r="D37" s="49">
        <v>45895.0</v>
      </c>
      <c r="E37" s="49">
        <v>45896.0</v>
      </c>
      <c r="F37" s="49">
        <v>45897.0</v>
      </c>
      <c r="G37" s="49">
        <v>45898.0</v>
      </c>
      <c r="H37" s="50">
        <v>45899.0</v>
      </c>
      <c r="J37" s="50">
        <v>45928.0</v>
      </c>
      <c r="K37" s="49">
        <v>45929.0</v>
      </c>
      <c r="L37" s="49">
        <v>45930.0</v>
      </c>
      <c r="M37" s="56"/>
      <c r="N37" s="56"/>
      <c r="O37" s="56"/>
      <c r="P37" s="56"/>
      <c r="R37" s="54"/>
      <c r="S37" s="70" t="s">
        <v>32</v>
      </c>
      <c r="T37" s="2"/>
      <c r="U37" s="2"/>
      <c r="V37" s="2"/>
      <c r="W37" s="2"/>
      <c r="X37" s="2"/>
    </row>
    <row r="38" ht="15.75" customHeight="1">
      <c r="B38" s="50">
        <v>45900.0</v>
      </c>
      <c r="C38" s="32"/>
      <c r="D38" s="32"/>
      <c r="E38" s="32"/>
      <c r="F38" s="34" t="s">
        <v>17</v>
      </c>
      <c r="H38" s="58"/>
      <c r="I38" s="67"/>
      <c r="N38" s="34" t="s">
        <v>17</v>
      </c>
      <c r="P38" s="58"/>
      <c r="R38" s="54"/>
      <c r="S38" s="71" t="s">
        <v>33</v>
      </c>
      <c r="T38" s="2"/>
      <c r="U38" s="2"/>
      <c r="V38" s="2"/>
      <c r="W38" s="2"/>
      <c r="X38" s="2"/>
    </row>
    <row r="39" ht="15.75" customHeight="1">
      <c r="B39" s="32"/>
      <c r="C39" s="32"/>
      <c r="D39" s="32"/>
      <c r="E39" s="32"/>
      <c r="F39" s="37" t="s">
        <v>18</v>
      </c>
      <c r="G39" s="38"/>
      <c r="H39" s="39"/>
      <c r="I39" s="67"/>
      <c r="J39" s="32"/>
      <c r="K39" s="32"/>
      <c r="L39" s="32"/>
      <c r="M39" s="32"/>
      <c r="N39" s="37" t="s">
        <v>18</v>
      </c>
      <c r="O39" s="38"/>
      <c r="P39" s="39"/>
      <c r="R39" s="54"/>
      <c r="S39" s="71" t="s">
        <v>34</v>
      </c>
      <c r="T39" s="2"/>
      <c r="U39" s="2"/>
      <c r="V39" s="2"/>
      <c r="W39" s="2"/>
      <c r="X39" s="2"/>
    </row>
    <row r="40" ht="15.75" customHeight="1">
      <c r="B40" s="36"/>
      <c r="C40" s="36"/>
      <c r="D40" s="36"/>
      <c r="E40" s="36"/>
      <c r="J40" s="36"/>
      <c r="K40" s="36"/>
      <c r="L40" s="36"/>
      <c r="M40" s="36"/>
      <c r="R40" s="54"/>
      <c r="S40" s="2"/>
      <c r="T40" s="2"/>
      <c r="U40" s="2"/>
      <c r="V40" s="2"/>
      <c r="W40" s="2"/>
      <c r="X40" s="2"/>
    </row>
    <row r="41" ht="15.75" customHeight="1">
      <c r="B41" s="42"/>
      <c r="C41" s="43"/>
      <c r="D41" s="64" t="s">
        <v>35</v>
      </c>
      <c r="E41" s="65"/>
      <c r="F41" s="65"/>
      <c r="G41" s="43"/>
      <c r="H41" s="46"/>
      <c r="J41" s="42"/>
      <c r="K41" s="43"/>
      <c r="L41" s="64" t="s">
        <v>36</v>
      </c>
      <c r="M41" s="65"/>
      <c r="N41" s="65"/>
      <c r="O41" s="43"/>
      <c r="P41" s="46"/>
      <c r="R41" s="54"/>
      <c r="S41" s="72" t="s">
        <v>37</v>
      </c>
    </row>
    <row r="42" ht="15.75" customHeight="1">
      <c r="B42" s="15" t="s">
        <v>3</v>
      </c>
      <c r="C42" s="16" t="s">
        <v>4</v>
      </c>
      <c r="D42" s="16" t="s">
        <v>5</v>
      </c>
      <c r="E42" s="16" t="s">
        <v>6</v>
      </c>
      <c r="F42" s="16" t="s">
        <v>7</v>
      </c>
      <c r="G42" s="16" t="s">
        <v>8</v>
      </c>
      <c r="H42" s="17" t="s">
        <v>9</v>
      </c>
      <c r="J42" s="15" t="s">
        <v>3</v>
      </c>
      <c r="K42" s="16" t="s">
        <v>4</v>
      </c>
      <c r="L42" s="16" t="s">
        <v>5</v>
      </c>
      <c r="M42" s="16" t="s">
        <v>6</v>
      </c>
      <c r="N42" s="16" t="s">
        <v>7</v>
      </c>
      <c r="O42" s="16" t="s">
        <v>8</v>
      </c>
      <c r="P42" s="17" t="s">
        <v>9</v>
      </c>
      <c r="R42" s="54"/>
      <c r="S42" s="73" t="s">
        <v>38</v>
      </c>
    </row>
    <row r="43" ht="15.75" customHeight="1">
      <c r="B43" s="18"/>
      <c r="C43" s="18"/>
      <c r="D43" s="18"/>
      <c r="E43" s="49">
        <v>45931.0</v>
      </c>
      <c r="F43" s="49">
        <v>45932.0</v>
      </c>
      <c r="G43" s="50">
        <v>45933.0</v>
      </c>
      <c r="H43" s="50">
        <v>45934.0</v>
      </c>
      <c r="J43" s="30"/>
      <c r="K43" s="74"/>
      <c r="L43" s="74"/>
      <c r="M43" s="74"/>
      <c r="N43" s="74"/>
      <c r="O43" s="74"/>
      <c r="P43" s="50">
        <v>45962.0</v>
      </c>
      <c r="R43" s="54"/>
      <c r="S43" s="75" t="s">
        <v>39</v>
      </c>
    </row>
    <row r="44" ht="15.75" customHeight="1">
      <c r="B44" s="50">
        <v>45935.0</v>
      </c>
      <c r="C44" s="49">
        <v>45936.0</v>
      </c>
      <c r="D44" s="49">
        <v>45937.0</v>
      </c>
      <c r="E44" s="49">
        <v>45938.0</v>
      </c>
      <c r="F44" s="49">
        <v>45939.0</v>
      </c>
      <c r="G44" s="49">
        <v>45940.0</v>
      </c>
      <c r="H44" s="50">
        <v>45941.0</v>
      </c>
      <c r="J44" s="50">
        <v>45963.0</v>
      </c>
      <c r="K44" s="49">
        <v>45964.0</v>
      </c>
      <c r="L44" s="49">
        <v>45965.0</v>
      </c>
      <c r="M44" s="49">
        <v>45966.0</v>
      </c>
      <c r="N44" s="49">
        <v>45967.0</v>
      </c>
      <c r="O44" s="49">
        <v>45968.0</v>
      </c>
      <c r="P44" s="50">
        <v>45969.0</v>
      </c>
      <c r="R44" s="54"/>
    </row>
    <row r="45" ht="15.75" customHeight="1">
      <c r="B45" s="50">
        <v>45942.0</v>
      </c>
      <c r="C45" s="49">
        <v>45943.0</v>
      </c>
      <c r="D45" s="49">
        <v>45944.0</v>
      </c>
      <c r="E45" s="49">
        <v>45945.0</v>
      </c>
      <c r="F45" s="49">
        <v>45946.0</v>
      </c>
      <c r="G45" s="49">
        <v>45947.0</v>
      </c>
      <c r="H45" s="50">
        <v>45948.0</v>
      </c>
      <c r="J45" s="50">
        <v>45970.0</v>
      </c>
      <c r="K45" s="49">
        <v>45971.0</v>
      </c>
      <c r="L45" s="49">
        <v>45972.0</v>
      </c>
      <c r="M45" s="49">
        <v>45973.0</v>
      </c>
      <c r="N45" s="49">
        <v>45974.0</v>
      </c>
      <c r="O45" s="49">
        <v>45975.0</v>
      </c>
      <c r="P45" s="50">
        <v>45976.0</v>
      </c>
      <c r="R45" s="54"/>
      <c r="S45" s="73" t="s">
        <v>40</v>
      </c>
    </row>
    <row r="46" ht="15.75" customHeight="1">
      <c r="B46" s="50">
        <v>45949.0</v>
      </c>
      <c r="C46" s="49">
        <v>45950.0</v>
      </c>
      <c r="D46" s="76">
        <v>45951.0</v>
      </c>
      <c r="E46" s="49">
        <v>45952.0</v>
      </c>
      <c r="F46" s="49">
        <v>45953.0</v>
      </c>
      <c r="G46" s="49">
        <v>45954.0</v>
      </c>
      <c r="H46" s="50">
        <v>45955.0</v>
      </c>
      <c r="J46" s="50">
        <v>45977.0</v>
      </c>
      <c r="K46" s="49">
        <v>45978.0</v>
      </c>
      <c r="L46" s="49">
        <v>45979.0</v>
      </c>
      <c r="M46" s="49">
        <v>45980.0</v>
      </c>
      <c r="N46" s="76">
        <v>45981.0</v>
      </c>
      <c r="O46" s="49">
        <v>45982.0</v>
      </c>
      <c r="P46" s="50">
        <v>45983.0</v>
      </c>
      <c r="R46" s="54"/>
    </row>
    <row r="47" ht="15.75" customHeight="1">
      <c r="B47" s="50">
        <v>45956.0</v>
      </c>
      <c r="C47" s="49">
        <v>45957.0</v>
      </c>
      <c r="D47" s="49">
        <v>45958.0</v>
      </c>
      <c r="E47" s="49">
        <v>45959.0</v>
      </c>
      <c r="F47" s="49">
        <v>45960.0</v>
      </c>
      <c r="G47" s="49">
        <v>45961.0</v>
      </c>
      <c r="H47" s="57"/>
      <c r="J47" s="50">
        <v>45984.0</v>
      </c>
      <c r="K47" s="49">
        <v>45985.0</v>
      </c>
      <c r="L47" s="49">
        <v>45986.0</v>
      </c>
      <c r="M47" s="49">
        <v>45987.0</v>
      </c>
      <c r="N47" s="49">
        <v>45988.0</v>
      </c>
      <c r="O47" s="49">
        <v>45989.0</v>
      </c>
      <c r="P47" s="50">
        <v>45990.0</v>
      </c>
      <c r="R47" s="54"/>
      <c r="S47" s="77" t="s">
        <v>41</v>
      </c>
    </row>
    <row r="48" ht="15.75" customHeight="1">
      <c r="A48" s="78"/>
      <c r="B48" s="79"/>
      <c r="C48" s="79"/>
      <c r="D48" s="80"/>
      <c r="E48" s="80"/>
      <c r="F48" s="34" t="s">
        <v>17</v>
      </c>
      <c r="H48" s="81"/>
      <c r="I48" s="78"/>
      <c r="J48" s="50">
        <v>45991.0</v>
      </c>
      <c r="K48" s="30"/>
      <c r="L48" s="74"/>
      <c r="M48" s="74"/>
      <c r="N48" s="74"/>
      <c r="O48" s="74"/>
      <c r="P48" s="74"/>
      <c r="R48" s="54"/>
    </row>
    <row r="49" ht="15.75" customHeight="1">
      <c r="A49" s="78"/>
      <c r="B49" s="82"/>
      <c r="C49" s="79"/>
      <c r="D49" s="80"/>
      <c r="E49" s="80"/>
      <c r="F49" s="37" t="s">
        <v>18</v>
      </c>
      <c r="G49" s="38"/>
      <c r="H49" s="83"/>
      <c r="I49" s="78"/>
      <c r="J49" s="84"/>
      <c r="K49" s="84"/>
      <c r="L49" s="84"/>
      <c r="M49" s="34" t="s">
        <v>17</v>
      </c>
      <c r="O49" s="81"/>
      <c r="P49" s="36"/>
      <c r="R49" s="54"/>
    </row>
    <row r="50" ht="15.75" customHeight="1">
      <c r="A50" s="78"/>
      <c r="B50" s="84"/>
      <c r="C50" s="84"/>
      <c r="D50" s="84"/>
      <c r="E50" s="84"/>
      <c r="F50" s="84"/>
      <c r="G50" s="84"/>
      <c r="H50" s="84"/>
      <c r="I50" s="78"/>
      <c r="J50" s="78"/>
      <c r="K50" s="78"/>
      <c r="L50" s="78"/>
      <c r="M50" s="37" t="s">
        <v>18</v>
      </c>
      <c r="N50" s="38"/>
      <c r="O50" s="83"/>
      <c r="P50" s="36"/>
      <c r="R50" s="54"/>
      <c r="S50" s="77" t="s">
        <v>42</v>
      </c>
    </row>
    <row r="51" ht="15.75" customHeight="1">
      <c r="B51" s="42"/>
      <c r="C51" s="43"/>
      <c r="D51" s="64" t="s">
        <v>43</v>
      </c>
      <c r="E51" s="65"/>
      <c r="F51" s="65"/>
      <c r="G51" s="43"/>
      <c r="H51" s="46"/>
      <c r="J51" s="42"/>
      <c r="K51" s="43"/>
      <c r="L51" s="64" t="s">
        <v>44</v>
      </c>
      <c r="M51" s="65"/>
      <c r="N51" s="65"/>
      <c r="O51" s="43"/>
      <c r="P51" s="46"/>
      <c r="R51" s="54"/>
    </row>
    <row r="52" ht="15.75" customHeight="1">
      <c r="B52" s="15" t="s">
        <v>3</v>
      </c>
      <c r="C52" s="16" t="s">
        <v>4</v>
      </c>
      <c r="D52" s="16" t="s">
        <v>5</v>
      </c>
      <c r="E52" s="16" t="s">
        <v>6</v>
      </c>
      <c r="F52" s="16" t="s">
        <v>7</v>
      </c>
      <c r="G52" s="16" t="s">
        <v>8</v>
      </c>
      <c r="H52" s="17" t="s">
        <v>9</v>
      </c>
      <c r="J52" s="15" t="s">
        <v>3</v>
      </c>
      <c r="K52" s="16" t="s">
        <v>4</v>
      </c>
      <c r="L52" s="16" t="s">
        <v>5</v>
      </c>
      <c r="M52" s="16" t="s">
        <v>6</v>
      </c>
      <c r="N52" s="16" t="s">
        <v>7</v>
      </c>
      <c r="O52" s="16" t="s">
        <v>8</v>
      </c>
      <c r="P52" s="17" t="s">
        <v>9</v>
      </c>
      <c r="R52" s="54"/>
    </row>
    <row r="53" ht="15.75" customHeight="1">
      <c r="B53" s="30"/>
      <c r="C53" s="30"/>
      <c r="D53" s="49">
        <v>45748.0</v>
      </c>
      <c r="E53" s="49">
        <v>45749.0</v>
      </c>
      <c r="F53" s="49">
        <v>45750.0</v>
      </c>
      <c r="G53" s="49">
        <v>45751.0</v>
      </c>
      <c r="H53" s="50">
        <v>45752.0</v>
      </c>
      <c r="J53" s="30"/>
      <c r="K53" s="74"/>
      <c r="L53" s="74"/>
      <c r="M53" s="74"/>
      <c r="N53" s="76">
        <v>45778.0</v>
      </c>
      <c r="O53" s="49">
        <v>45779.0</v>
      </c>
      <c r="P53" s="50">
        <v>45780.0</v>
      </c>
      <c r="R53" s="54"/>
    </row>
    <row r="54" ht="15.75" customHeight="1">
      <c r="B54" s="50">
        <v>45753.0</v>
      </c>
      <c r="C54" s="50">
        <v>45754.0</v>
      </c>
      <c r="D54" s="49">
        <v>45755.0</v>
      </c>
      <c r="E54" s="49">
        <v>45756.0</v>
      </c>
      <c r="F54" s="49">
        <v>45757.0</v>
      </c>
      <c r="G54" s="49">
        <v>45758.0</v>
      </c>
      <c r="H54" s="50">
        <v>45759.0</v>
      </c>
      <c r="J54" s="50">
        <v>45781.0</v>
      </c>
      <c r="K54" s="49">
        <v>45782.0</v>
      </c>
      <c r="L54" s="49">
        <v>45783.0</v>
      </c>
      <c r="M54" s="49">
        <v>45784.0</v>
      </c>
      <c r="N54" s="49">
        <v>45785.0</v>
      </c>
      <c r="O54" s="49">
        <v>45786.0</v>
      </c>
      <c r="P54" s="50">
        <v>45787.0</v>
      </c>
      <c r="R54" s="54"/>
    </row>
    <row r="55" ht="15.75" customHeight="1">
      <c r="B55" s="50">
        <v>45760.0</v>
      </c>
      <c r="C55" s="49">
        <v>45761.0</v>
      </c>
      <c r="D55" s="49">
        <v>45762.0</v>
      </c>
      <c r="E55" s="49">
        <v>45763.0</v>
      </c>
      <c r="F55" s="49">
        <v>45764.0</v>
      </c>
      <c r="G55" s="76">
        <v>45765.0</v>
      </c>
      <c r="H55" s="50">
        <v>45766.0</v>
      </c>
      <c r="J55" s="50">
        <v>45788.0</v>
      </c>
      <c r="K55" s="50">
        <v>45789.0</v>
      </c>
      <c r="L55" s="49">
        <v>45790.0</v>
      </c>
      <c r="M55" s="49">
        <v>45791.0</v>
      </c>
      <c r="N55" s="49">
        <v>45792.0</v>
      </c>
      <c r="O55" s="49">
        <v>45793.0</v>
      </c>
      <c r="P55" s="50">
        <v>45794.0</v>
      </c>
      <c r="R55" s="54"/>
    </row>
    <row r="56" ht="15.75" customHeight="1">
      <c r="B56" s="50">
        <v>45767.0</v>
      </c>
      <c r="C56" s="76">
        <v>45768.0</v>
      </c>
      <c r="D56" s="49">
        <v>45769.0</v>
      </c>
      <c r="E56" s="49">
        <v>45770.0</v>
      </c>
      <c r="F56" s="49">
        <v>45771.0</v>
      </c>
      <c r="G56" s="49">
        <v>45772.0</v>
      </c>
      <c r="H56" s="50">
        <v>45773.0</v>
      </c>
      <c r="J56" s="50">
        <v>45795.0</v>
      </c>
      <c r="K56" s="49">
        <v>45796.0</v>
      </c>
      <c r="L56" s="49">
        <v>45797.0</v>
      </c>
      <c r="M56" s="49">
        <v>45798.0</v>
      </c>
      <c r="N56" s="49">
        <v>45799.0</v>
      </c>
      <c r="O56" s="49">
        <v>45800.0</v>
      </c>
      <c r="P56" s="50">
        <v>45801.0</v>
      </c>
      <c r="R56" s="54"/>
    </row>
    <row r="57" ht="15.75" customHeight="1">
      <c r="B57" s="50">
        <v>45774.0</v>
      </c>
      <c r="C57" s="49">
        <v>45775.0</v>
      </c>
      <c r="D57" s="49">
        <v>45776.0</v>
      </c>
      <c r="E57" s="49">
        <v>45777.0</v>
      </c>
      <c r="F57" s="56"/>
      <c r="G57" s="56"/>
      <c r="H57" s="57"/>
      <c r="J57" s="50">
        <v>45802.0</v>
      </c>
      <c r="K57" s="49">
        <v>45803.0</v>
      </c>
      <c r="L57" s="49">
        <v>45804.0</v>
      </c>
      <c r="M57" s="49">
        <v>45805.0</v>
      </c>
      <c r="N57" s="49">
        <v>45806.0</v>
      </c>
      <c r="O57" s="49">
        <v>45807.0</v>
      </c>
      <c r="P57" s="50">
        <v>45808.0</v>
      </c>
      <c r="R57" s="2"/>
      <c r="S57" s="73" t="s">
        <v>45</v>
      </c>
    </row>
    <row r="58" ht="15.75" customHeight="1">
      <c r="B58" s="79"/>
      <c r="C58" s="79"/>
      <c r="D58" s="79"/>
      <c r="E58" s="79"/>
      <c r="F58" s="34" t="s">
        <v>17</v>
      </c>
      <c r="H58" s="81"/>
      <c r="I58" s="78"/>
      <c r="J58" s="79"/>
      <c r="K58" s="79"/>
      <c r="L58" s="79"/>
      <c r="M58" s="80"/>
      <c r="N58" s="34" t="s">
        <v>17</v>
      </c>
      <c r="P58" s="81"/>
      <c r="Q58" s="78"/>
      <c r="R58" s="2"/>
    </row>
    <row r="59" ht="15.75" customHeight="1">
      <c r="B59" s="79"/>
      <c r="C59" s="79"/>
      <c r="D59" s="79"/>
      <c r="E59" s="79"/>
      <c r="F59" s="37" t="s">
        <v>18</v>
      </c>
      <c r="G59" s="38"/>
      <c r="H59" s="83"/>
      <c r="I59" s="78"/>
      <c r="J59" s="79"/>
      <c r="K59" s="79"/>
      <c r="L59" s="79"/>
      <c r="M59" s="80"/>
      <c r="N59" s="37" t="s">
        <v>18</v>
      </c>
      <c r="O59" s="38"/>
      <c r="P59" s="83"/>
      <c r="Q59" s="78"/>
      <c r="R59" s="2"/>
    </row>
    <row r="60" ht="15.75" customHeight="1">
      <c r="B60" s="79"/>
      <c r="C60" s="79"/>
      <c r="D60" s="79"/>
      <c r="E60" s="79"/>
      <c r="F60" s="79"/>
      <c r="G60" s="79"/>
      <c r="H60" s="82"/>
      <c r="I60" s="78"/>
      <c r="J60" s="79"/>
      <c r="K60" s="79"/>
      <c r="L60" s="79"/>
      <c r="M60" s="80"/>
      <c r="N60" s="80"/>
      <c r="O60" s="80"/>
      <c r="P60" s="80"/>
      <c r="Q60" s="78"/>
      <c r="R60" s="2"/>
    </row>
    <row r="61" ht="15.75" customHeight="1">
      <c r="B61" s="36"/>
      <c r="C61" s="36"/>
      <c r="D61" s="36"/>
      <c r="E61" s="36"/>
      <c r="F61" s="36"/>
      <c r="G61" s="36"/>
      <c r="H61" s="36"/>
      <c r="J61" s="36"/>
      <c r="K61" s="36"/>
      <c r="L61" s="36"/>
      <c r="M61" s="36"/>
      <c r="N61" s="36"/>
      <c r="O61" s="36"/>
      <c r="P61" s="36"/>
      <c r="R61" s="2"/>
    </row>
    <row r="62" ht="15.75" customHeight="1">
      <c r="B62" s="42"/>
      <c r="C62" s="43"/>
      <c r="D62" s="64" t="s">
        <v>46</v>
      </c>
      <c r="E62" s="65"/>
      <c r="F62" s="65"/>
      <c r="G62" s="43"/>
      <c r="H62" s="46"/>
      <c r="J62" s="42"/>
      <c r="K62" s="43"/>
      <c r="L62" s="64" t="s">
        <v>47</v>
      </c>
      <c r="M62" s="65"/>
      <c r="N62" s="65"/>
      <c r="O62" s="43"/>
      <c r="P62" s="46"/>
      <c r="R62" s="2"/>
      <c r="S62" s="2"/>
      <c r="T62" s="2"/>
      <c r="U62" s="2"/>
      <c r="V62" s="2"/>
      <c r="W62" s="2"/>
      <c r="X62" s="2"/>
    </row>
    <row r="63" ht="15.75" customHeight="1">
      <c r="B63" s="15" t="s">
        <v>3</v>
      </c>
      <c r="C63" s="16" t="s">
        <v>4</v>
      </c>
      <c r="D63" s="16" t="s">
        <v>5</v>
      </c>
      <c r="E63" s="16" t="s">
        <v>6</v>
      </c>
      <c r="F63" s="16" t="s">
        <v>7</v>
      </c>
      <c r="G63" s="16" t="s">
        <v>8</v>
      </c>
      <c r="H63" s="17" t="s">
        <v>9</v>
      </c>
      <c r="J63" s="15" t="s">
        <v>3</v>
      </c>
      <c r="K63" s="16" t="s">
        <v>4</v>
      </c>
      <c r="L63" s="16" t="s">
        <v>5</v>
      </c>
      <c r="M63" s="16" t="s">
        <v>6</v>
      </c>
      <c r="N63" s="16" t="s">
        <v>7</v>
      </c>
      <c r="O63" s="16" t="s">
        <v>8</v>
      </c>
      <c r="P63" s="17" t="s">
        <v>9</v>
      </c>
      <c r="R63" s="2"/>
      <c r="S63" s="2"/>
      <c r="T63" s="2"/>
      <c r="U63" s="2"/>
      <c r="V63" s="2"/>
      <c r="W63" s="2"/>
      <c r="X63" s="2"/>
    </row>
    <row r="64" ht="15.75" customHeight="1">
      <c r="B64" s="19">
        <v>45658.0</v>
      </c>
      <c r="C64" s="85">
        <v>2.0</v>
      </c>
      <c r="D64" s="85">
        <v>3.0</v>
      </c>
      <c r="E64" s="85">
        <v>4.0</v>
      </c>
      <c r="F64" s="85">
        <v>5.0</v>
      </c>
      <c r="G64" s="85">
        <v>6.0</v>
      </c>
      <c r="H64" s="24">
        <v>7.0</v>
      </c>
      <c r="J64" s="18"/>
      <c r="K64" s="18"/>
      <c r="L64" s="18"/>
      <c r="M64" s="49">
        <v>45931.0</v>
      </c>
      <c r="N64" s="49">
        <v>45932.0</v>
      </c>
      <c r="O64" s="50">
        <v>45933.0</v>
      </c>
      <c r="P64" s="50">
        <v>45934.0</v>
      </c>
      <c r="R64" s="54"/>
      <c r="S64" s="2"/>
      <c r="T64" s="2"/>
      <c r="U64" s="2"/>
      <c r="V64" s="2"/>
      <c r="W64" s="2"/>
      <c r="X64" s="2"/>
    </row>
    <row r="65" ht="15.75" customHeight="1">
      <c r="B65" s="24">
        <v>8.0</v>
      </c>
      <c r="C65" s="85">
        <v>9.0</v>
      </c>
      <c r="D65" s="85">
        <v>10.0</v>
      </c>
      <c r="E65" s="85">
        <v>11.0</v>
      </c>
      <c r="F65" s="85">
        <v>12.0</v>
      </c>
      <c r="G65" s="85">
        <v>13.0</v>
      </c>
      <c r="H65" s="24">
        <v>14.0</v>
      </c>
      <c r="I65" s="51"/>
      <c r="J65" s="50">
        <v>45935.0</v>
      </c>
      <c r="K65" s="49">
        <v>45936.0</v>
      </c>
      <c r="L65" s="49">
        <v>45937.0</v>
      </c>
      <c r="M65" s="49">
        <v>45938.0</v>
      </c>
      <c r="N65" s="49">
        <v>45939.0</v>
      </c>
      <c r="O65" s="49">
        <v>45940.0</v>
      </c>
      <c r="P65" s="50">
        <v>45941.0</v>
      </c>
      <c r="R65" s="54"/>
      <c r="S65" s="2"/>
      <c r="T65" s="2"/>
      <c r="U65" s="2"/>
      <c r="V65" s="2"/>
      <c r="W65" s="2"/>
      <c r="X65" s="2"/>
    </row>
    <row r="66" ht="15.75" customHeight="1">
      <c r="B66" s="24">
        <v>15.0</v>
      </c>
      <c r="C66" s="85">
        <v>16.0</v>
      </c>
      <c r="D66" s="85">
        <v>17.0</v>
      </c>
      <c r="E66" s="85">
        <v>18.0</v>
      </c>
      <c r="F66" s="85">
        <v>19.0</v>
      </c>
      <c r="G66" s="24">
        <v>20.0</v>
      </c>
      <c r="H66" s="24">
        <v>21.0</v>
      </c>
      <c r="J66" s="50">
        <v>45942.0</v>
      </c>
      <c r="K66" s="49">
        <v>45943.0</v>
      </c>
      <c r="L66" s="49">
        <v>45944.0</v>
      </c>
      <c r="M66" s="49">
        <v>45945.0</v>
      </c>
      <c r="N66" s="49">
        <v>45946.0</v>
      </c>
      <c r="O66" s="49">
        <v>45947.0</v>
      </c>
      <c r="P66" s="50">
        <v>45948.0</v>
      </c>
      <c r="R66" s="54"/>
      <c r="S66" s="2"/>
      <c r="T66" s="2"/>
      <c r="U66" s="2"/>
      <c r="V66" s="2"/>
      <c r="W66" s="2"/>
      <c r="X66" s="2"/>
    </row>
    <row r="67" ht="15.75" customHeight="1">
      <c r="B67" s="24">
        <v>22.0</v>
      </c>
      <c r="C67" s="85">
        <v>23.0</v>
      </c>
      <c r="D67" s="85">
        <v>24.0</v>
      </c>
      <c r="E67" s="85">
        <v>25.0</v>
      </c>
      <c r="F67" s="85">
        <v>26.0</v>
      </c>
      <c r="G67" s="85">
        <v>27.0</v>
      </c>
      <c r="H67" s="24">
        <v>28.0</v>
      </c>
      <c r="J67" s="50">
        <v>45949.0</v>
      </c>
      <c r="K67" s="49">
        <v>45950.0</v>
      </c>
      <c r="L67" s="76">
        <v>45951.0</v>
      </c>
      <c r="M67" s="49">
        <v>45952.0</v>
      </c>
      <c r="N67" s="49">
        <v>45953.0</v>
      </c>
      <c r="O67" s="50">
        <v>45954.0</v>
      </c>
      <c r="P67" s="50">
        <v>45955.0</v>
      </c>
      <c r="R67" s="54"/>
      <c r="S67" s="2"/>
      <c r="T67" s="2"/>
      <c r="U67" s="2"/>
      <c r="V67" s="2"/>
      <c r="W67" s="2"/>
      <c r="X67" s="2"/>
    </row>
    <row r="68" ht="15.75" customHeight="1">
      <c r="B68" s="24">
        <v>29.0</v>
      </c>
      <c r="C68" s="85">
        <v>30.0</v>
      </c>
      <c r="D68" s="85">
        <v>31.0</v>
      </c>
      <c r="E68" s="56"/>
      <c r="F68" s="56"/>
      <c r="G68" s="56"/>
      <c r="H68" s="56"/>
      <c r="J68" s="50">
        <v>45956.0</v>
      </c>
      <c r="K68" s="49">
        <v>45957.0</v>
      </c>
      <c r="L68" s="49">
        <v>45958.0</v>
      </c>
      <c r="M68" s="49">
        <v>45959.0</v>
      </c>
      <c r="N68" s="49">
        <v>45960.0</v>
      </c>
      <c r="O68" s="49">
        <v>45961.0</v>
      </c>
      <c r="P68" s="57"/>
      <c r="R68" s="2"/>
      <c r="S68" s="2"/>
      <c r="T68" s="2"/>
      <c r="U68" s="2"/>
      <c r="V68" s="2"/>
      <c r="W68" s="2"/>
      <c r="X68" s="2"/>
    </row>
    <row r="69" ht="15.75" customHeight="1">
      <c r="F69" s="34" t="s">
        <v>17</v>
      </c>
      <c r="H69" s="81"/>
      <c r="I69" s="78"/>
      <c r="N69" s="34" t="s">
        <v>17</v>
      </c>
      <c r="P69" s="81"/>
      <c r="R69" s="2"/>
      <c r="S69" s="2"/>
      <c r="T69" s="2"/>
      <c r="U69" s="2"/>
      <c r="V69" s="2"/>
      <c r="W69" s="2"/>
      <c r="X69" s="2"/>
    </row>
    <row r="70" ht="15.75" customHeight="1">
      <c r="B70" s="86"/>
      <c r="F70" s="37" t="s">
        <v>18</v>
      </c>
      <c r="G70" s="38"/>
      <c r="H70" s="83"/>
      <c r="I70" s="78"/>
      <c r="J70" s="36"/>
      <c r="K70" s="36"/>
      <c r="L70" s="36"/>
      <c r="M70" s="36"/>
      <c r="N70" s="37" t="s">
        <v>18</v>
      </c>
      <c r="O70" s="38"/>
      <c r="P70" s="83"/>
      <c r="Q70" s="78"/>
      <c r="R70" s="2"/>
      <c r="S70" s="2"/>
      <c r="T70" s="2"/>
      <c r="U70" s="2"/>
      <c r="V70" s="2"/>
      <c r="W70" s="2"/>
      <c r="X70" s="2"/>
    </row>
    <row r="71" ht="15.75" customHeight="1">
      <c r="Q71" s="78"/>
      <c r="R71" s="2"/>
      <c r="S71" s="2"/>
      <c r="T71" s="2"/>
      <c r="U71" s="2"/>
      <c r="V71" s="2"/>
      <c r="W71" s="2"/>
      <c r="X71" s="2"/>
    </row>
    <row r="72" ht="15.75" customHeight="1">
      <c r="B72" s="51"/>
      <c r="H72" s="67"/>
      <c r="R72" s="2"/>
      <c r="S72" s="2"/>
      <c r="T72" s="2"/>
      <c r="U72" s="2"/>
      <c r="V72" s="2"/>
      <c r="W72" s="2"/>
      <c r="X72" s="2"/>
    </row>
    <row r="73" ht="15.75" customHeight="1">
      <c r="P73" s="67"/>
      <c r="R73" s="2"/>
      <c r="S73" s="2"/>
      <c r="T73" s="2"/>
      <c r="U73" s="2"/>
      <c r="V73" s="2"/>
      <c r="W73" s="2"/>
      <c r="X73" s="2"/>
    </row>
    <row r="74" ht="15.75" customHeight="1">
      <c r="R74" s="2"/>
      <c r="S74" s="2"/>
      <c r="T74" s="2"/>
      <c r="U74" s="2"/>
      <c r="V74" s="2"/>
      <c r="W74" s="2"/>
      <c r="X74" s="2"/>
    </row>
    <row r="75" ht="15.75" customHeight="1">
      <c r="R75" s="2"/>
      <c r="S75" s="2"/>
      <c r="T75" s="2"/>
      <c r="U75" s="2"/>
      <c r="V75" s="2"/>
      <c r="W75" s="2"/>
      <c r="X75" s="2"/>
    </row>
    <row r="76" ht="15.75" customHeight="1">
      <c r="R76" s="2"/>
      <c r="S76" s="2"/>
      <c r="T76" s="2"/>
      <c r="U76" s="2"/>
      <c r="V76" s="2"/>
      <c r="W76" s="2"/>
      <c r="X76" s="2"/>
    </row>
    <row r="77" ht="15.75" customHeight="1">
      <c r="R77" s="2"/>
      <c r="S77" s="2"/>
      <c r="T77" s="2"/>
      <c r="U77" s="2"/>
      <c r="V77" s="2"/>
      <c r="W77" s="2"/>
      <c r="X77" s="2"/>
    </row>
    <row r="78" ht="15.75" customHeight="1">
      <c r="R78" s="2"/>
      <c r="S78" s="2"/>
      <c r="T78" s="2"/>
      <c r="U78" s="2"/>
      <c r="V78" s="2"/>
      <c r="W78" s="2"/>
      <c r="X78" s="2"/>
    </row>
    <row r="79" ht="15.75" customHeight="1">
      <c r="R79" s="2"/>
      <c r="S79" s="2"/>
      <c r="T79" s="2"/>
      <c r="U79" s="2"/>
      <c r="V79" s="2"/>
      <c r="W79" s="2"/>
      <c r="X79" s="2"/>
    </row>
    <row r="80" ht="15.75" customHeight="1">
      <c r="R80" s="2"/>
      <c r="S80" s="2"/>
      <c r="T80" s="2"/>
      <c r="U80" s="2"/>
      <c r="V80" s="2"/>
      <c r="W80" s="2"/>
      <c r="X80" s="2"/>
    </row>
    <row r="81" ht="15.75" customHeight="1">
      <c r="R81" s="2"/>
      <c r="S81" s="2"/>
      <c r="T81" s="2"/>
      <c r="U81" s="2"/>
      <c r="V81" s="2"/>
      <c r="W81" s="2"/>
      <c r="X81" s="2"/>
    </row>
    <row r="82" ht="15.75" customHeight="1">
      <c r="R82" s="2"/>
      <c r="S82" s="2"/>
      <c r="T82" s="2"/>
      <c r="U82" s="2"/>
      <c r="V82" s="2"/>
      <c r="W82" s="2"/>
      <c r="X82" s="2"/>
    </row>
    <row r="83" ht="15.75" customHeight="1">
      <c r="R83" s="2"/>
      <c r="S83" s="2"/>
      <c r="T83" s="2"/>
      <c r="U83" s="2"/>
      <c r="V83" s="2"/>
      <c r="W83" s="2"/>
      <c r="X83" s="2"/>
    </row>
    <row r="84" ht="15.75" customHeight="1">
      <c r="R84" s="2"/>
      <c r="S84" s="2"/>
      <c r="T84" s="2"/>
      <c r="U84" s="2"/>
      <c r="V84" s="2"/>
      <c r="W84" s="2"/>
      <c r="X84" s="2"/>
    </row>
    <row r="85" ht="15.75" customHeight="1">
      <c r="R85" s="2"/>
      <c r="S85" s="2"/>
      <c r="T85" s="2"/>
      <c r="U85" s="2"/>
      <c r="V85" s="2"/>
      <c r="W85" s="2"/>
      <c r="X85" s="2"/>
    </row>
    <row r="86" ht="15.75" customHeight="1">
      <c r="R86" s="2"/>
      <c r="S86" s="2"/>
      <c r="T86" s="2"/>
      <c r="U86" s="2"/>
      <c r="V86" s="2"/>
      <c r="W86" s="2"/>
      <c r="X86" s="2"/>
    </row>
    <row r="87" ht="15.75" customHeight="1">
      <c r="R87" s="2"/>
      <c r="S87" s="2"/>
      <c r="T87" s="2"/>
      <c r="U87" s="2"/>
      <c r="V87" s="2"/>
      <c r="W87" s="2"/>
      <c r="X87" s="2"/>
    </row>
    <row r="88" ht="15.75" customHeight="1">
      <c r="R88" s="2"/>
      <c r="S88" s="2"/>
      <c r="T88" s="2"/>
      <c r="U88" s="2"/>
      <c r="V88" s="2"/>
      <c r="W88" s="2"/>
      <c r="X88" s="2"/>
    </row>
    <row r="89" ht="15.75" customHeight="1">
      <c r="R89" s="2"/>
      <c r="S89" s="2"/>
      <c r="T89" s="2"/>
      <c r="U89" s="2"/>
      <c r="V89" s="2"/>
      <c r="W89" s="2"/>
      <c r="X89" s="2"/>
    </row>
    <row r="90" ht="15.75" customHeight="1">
      <c r="R90" s="2"/>
      <c r="S90" s="2"/>
      <c r="T90" s="2"/>
      <c r="U90" s="2"/>
      <c r="V90" s="2"/>
      <c r="W90" s="2"/>
      <c r="X90" s="2"/>
    </row>
    <row r="91" ht="15.75" customHeight="1">
      <c r="R91" s="2"/>
      <c r="S91" s="2"/>
      <c r="T91" s="2"/>
      <c r="U91" s="2"/>
      <c r="V91" s="2"/>
      <c r="W91" s="2"/>
      <c r="X91" s="2"/>
    </row>
    <row r="92" ht="15.75" customHeight="1">
      <c r="R92" s="2"/>
      <c r="S92" s="2"/>
      <c r="T92" s="2"/>
      <c r="U92" s="2"/>
      <c r="V92" s="2"/>
      <c r="W92" s="2"/>
      <c r="X92" s="2"/>
    </row>
    <row r="93" ht="15.75" customHeight="1">
      <c r="R93" s="2"/>
      <c r="S93" s="2"/>
      <c r="T93" s="2"/>
      <c r="U93" s="2"/>
      <c r="V93" s="2"/>
      <c r="W93" s="2"/>
      <c r="X93" s="2"/>
    </row>
    <row r="94" ht="15.75" customHeight="1">
      <c r="R94" s="2"/>
      <c r="S94" s="2"/>
      <c r="T94" s="2"/>
      <c r="U94" s="2"/>
      <c r="V94" s="2"/>
      <c r="W94" s="2"/>
      <c r="X94" s="2"/>
    </row>
    <row r="95" ht="15.75" customHeight="1">
      <c r="R95" s="2"/>
      <c r="S95" s="2"/>
      <c r="T95" s="2"/>
      <c r="U95" s="2"/>
      <c r="V95" s="2"/>
      <c r="W95" s="2"/>
      <c r="X95" s="2"/>
    </row>
    <row r="96" ht="15.75" customHeight="1">
      <c r="R96" s="2"/>
      <c r="S96" s="2"/>
      <c r="T96" s="2"/>
      <c r="U96" s="2"/>
      <c r="V96" s="2"/>
      <c r="W96" s="2"/>
      <c r="X96" s="2"/>
    </row>
    <row r="97" ht="15.75" customHeight="1">
      <c r="R97" s="2"/>
      <c r="S97" s="2"/>
      <c r="T97" s="2"/>
      <c r="U97" s="2"/>
      <c r="V97" s="2"/>
      <c r="W97" s="2"/>
      <c r="X97" s="2"/>
    </row>
    <row r="98" ht="15.75" customHeight="1">
      <c r="R98" s="2"/>
      <c r="S98" s="2"/>
      <c r="T98" s="2"/>
      <c r="U98" s="2"/>
      <c r="V98" s="2"/>
      <c r="W98" s="2"/>
      <c r="X98" s="2"/>
    </row>
    <row r="99" ht="15.75" customHeight="1">
      <c r="R99" s="2"/>
      <c r="S99" s="2"/>
      <c r="T99" s="2"/>
      <c r="U99" s="2"/>
      <c r="V99" s="2"/>
      <c r="W99" s="2"/>
      <c r="X99" s="2"/>
    </row>
    <row r="100" ht="15.75" customHeight="1">
      <c r="R100" s="2"/>
      <c r="S100" s="2"/>
      <c r="T100" s="2"/>
      <c r="U100" s="2"/>
      <c r="V100" s="2"/>
      <c r="W100" s="2"/>
      <c r="X100" s="2"/>
    </row>
    <row r="101" ht="15.75" customHeight="1">
      <c r="R101" s="2"/>
      <c r="S101" s="2"/>
      <c r="T101" s="2"/>
      <c r="U101" s="2"/>
      <c r="V101" s="2"/>
      <c r="W101" s="2"/>
      <c r="X101" s="2"/>
    </row>
    <row r="102" ht="15.75" customHeight="1">
      <c r="R102" s="2"/>
      <c r="S102" s="2"/>
      <c r="T102" s="2"/>
      <c r="U102" s="2"/>
      <c r="V102" s="2"/>
      <c r="W102" s="2"/>
      <c r="X102" s="2"/>
    </row>
    <row r="103" ht="15.75" customHeight="1">
      <c r="R103" s="2"/>
      <c r="S103" s="2"/>
      <c r="T103" s="2"/>
      <c r="U103" s="2"/>
      <c r="V103" s="2"/>
      <c r="W103" s="2"/>
      <c r="X103" s="2"/>
    </row>
    <row r="104" ht="15.75" customHeight="1">
      <c r="R104" s="2"/>
      <c r="S104" s="2"/>
      <c r="T104" s="2"/>
      <c r="U104" s="2"/>
      <c r="V104" s="2"/>
      <c r="W104" s="2"/>
      <c r="X104" s="2"/>
    </row>
    <row r="105" ht="15.75" customHeight="1">
      <c r="R105" s="2"/>
      <c r="S105" s="2"/>
      <c r="T105" s="2"/>
      <c r="U105" s="2"/>
      <c r="V105" s="2"/>
      <c r="W105" s="2"/>
      <c r="X105" s="2"/>
    </row>
    <row r="106" ht="15.75" customHeight="1">
      <c r="R106" s="2"/>
      <c r="S106" s="2"/>
      <c r="T106" s="2"/>
      <c r="U106" s="2"/>
      <c r="V106" s="2"/>
      <c r="W106" s="2"/>
      <c r="X106" s="2"/>
    </row>
    <row r="107" ht="15.75" customHeight="1">
      <c r="R107" s="2"/>
      <c r="S107" s="2"/>
      <c r="T107" s="2"/>
      <c r="U107" s="2"/>
      <c r="V107" s="2"/>
      <c r="W107" s="2"/>
      <c r="X107" s="2"/>
    </row>
    <row r="108" ht="15.75" customHeight="1">
      <c r="R108" s="2"/>
      <c r="S108" s="2"/>
      <c r="T108" s="2"/>
      <c r="U108" s="2"/>
      <c r="V108" s="2"/>
      <c r="W108" s="2"/>
      <c r="X108" s="2"/>
    </row>
    <row r="109" ht="15.75" customHeight="1">
      <c r="R109" s="2"/>
      <c r="S109" s="2"/>
      <c r="T109" s="2"/>
      <c r="U109" s="2"/>
      <c r="V109" s="2"/>
      <c r="W109" s="2"/>
      <c r="X109" s="2"/>
    </row>
    <row r="110" ht="15.75" customHeight="1">
      <c r="R110" s="2"/>
      <c r="S110" s="2"/>
      <c r="T110" s="2"/>
      <c r="U110" s="2"/>
      <c r="V110" s="2"/>
      <c r="W110" s="2"/>
      <c r="X110" s="2"/>
    </row>
    <row r="111" ht="15.75" customHeight="1">
      <c r="R111" s="2"/>
      <c r="S111" s="2"/>
      <c r="T111" s="2"/>
      <c r="U111" s="2"/>
      <c r="V111" s="2"/>
      <c r="W111" s="2"/>
      <c r="X111" s="2"/>
    </row>
    <row r="112" ht="15.75" customHeight="1">
      <c r="R112" s="2"/>
      <c r="S112" s="2"/>
      <c r="T112" s="2"/>
      <c r="U112" s="2"/>
      <c r="V112" s="2"/>
      <c r="W112" s="2"/>
      <c r="X112" s="2"/>
    </row>
    <row r="113" ht="15.75" customHeight="1">
      <c r="R113" s="2"/>
      <c r="S113" s="2"/>
      <c r="T113" s="2"/>
      <c r="U113" s="2"/>
      <c r="V113" s="2"/>
      <c r="W113" s="2"/>
      <c r="X113" s="2"/>
    </row>
    <row r="114" ht="15.75" customHeight="1">
      <c r="R114" s="2"/>
      <c r="S114" s="2"/>
      <c r="T114" s="2"/>
      <c r="U114" s="2"/>
      <c r="V114" s="2"/>
      <c r="W114" s="2"/>
      <c r="X114" s="2"/>
    </row>
    <row r="115" ht="15.75" customHeight="1">
      <c r="R115" s="2"/>
      <c r="S115" s="2"/>
      <c r="T115" s="2"/>
      <c r="U115" s="2"/>
      <c r="V115" s="2"/>
      <c r="W115" s="2"/>
      <c r="X115" s="2"/>
    </row>
    <row r="116" ht="15.75" customHeight="1">
      <c r="R116" s="2"/>
      <c r="S116" s="2"/>
      <c r="T116" s="2"/>
      <c r="U116" s="2"/>
      <c r="V116" s="2"/>
      <c r="W116" s="2"/>
      <c r="X116" s="2"/>
    </row>
    <row r="117" ht="15.75" customHeight="1">
      <c r="R117" s="2"/>
      <c r="S117" s="2"/>
      <c r="T117" s="2"/>
      <c r="U117" s="2"/>
      <c r="V117" s="2"/>
      <c r="W117" s="2"/>
      <c r="X117" s="2"/>
    </row>
    <row r="118" ht="15.75" customHeight="1">
      <c r="R118" s="2"/>
      <c r="S118" s="2"/>
      <c r="T118" s="2"/>
      <c r="U118" s="2"/>
      <c r="V118" s="2"/>
      <c r="W118" s="2"/>
      <c r="X118" s="2"/>
    </row>
    <row r="119" ht="15.75" customHeight="1">
      <c r="R119" s="2"/>
      <c r="S119" s="2"/>
      <c r="T119" s="2"/>
      <c r="U119" s="2"/>
      <c r="V119" s="2"/>
      <c r="W119" s="2"/>
      <c r="X119" s="2"/>
    </row>
    <row r="120" ht="15.75" customHeight="1">
      <c r="R120" s="2"/>
      <c r="S120" s="2"/>
      <c r="T120" s="2"/>
      <c r="U120" s="2"/>
      <c r="V120" s="2"/>
      <c r="W120" s="2"/>
      <c r="X120" s="2"/>
    </row>
    <row r="121" ht="15.75" customHeight="1">
      <c r="R121" s="2"/>
      <c r="S121" s="2"/>
      <c r="T121" s="2"/>
      <c r="U121" s="2"/>
      <c r="V121" s="2"/>
      <c r="W121" s="2"/>
      <c r="X121" s="2"/>
    </row>
    <row r="122" ht="15.75" customHeight="1">
      <c r="R122" s="2"/>
      <c r="S122" s="2"/>
      <c r="T122" s="2"/>
      <c r="U122" s="2"/>
      <c r="V122" s="2"/>
      <c r="W122" s="2"/>
      <c r="X122" s="2"/>
    </row>
    <row r="123" ht="15.75" customHeight="1">
      <c r="R123" s="2"/>
      <c r="S123" s="2"/>
      <c r="T123" s="2"/>
      <c r="U123" s="2"/>
      <c r="V123" s="2"/>
      <c r="W123" s="2"/>
      <c r="X123" s="2"/>
    </row>
    <row r="124" ht="15.75" customHeight="1">
      <c r="R124" s="2"/>
      <c r="S124" s="2"/>
      <c r="T124" s="2"/>
      <c r="U124" s="2"/>
      <c r="V124" s="2"/>
      <c r="W124" s="2"/>
      <c r="X124" s="2"/>
    </row>
    <row r="125" ht="15.75" customHeight="1">
      <c r="R125" s="2"/>
      <c r="S125" s="2"/>
      <c r="T125" s="2"/>
      <c r="U125" s="2"/>
      <c r="V125" s="2"/>
      <c r="W125" s="2"/>
      <c r="X125" s="2"/>
    </row>
    <row r="126" ht="15.75" customHeight="1">
      <c r="R126" s="2"/>
      <c r="S126" s="2"/>
      <c r="T126" s="2"/>
      <c r="U126" s="2"/>
      <c r="V126" s="2"/>
      <c r="W126" s="2"/>
      <c r="X126" s="2"/>
    </row>
    <row r="127" ht="15.75" customHeight="1">
      <c r="R127" s="2"/>
      <c r="S127" s="2"/>
      <c r="T127" s="2"/>
      <c r="U127" s="2"/>
      <c r="V127" s="2"/>
      <c r="W127" s="2"/>
      <c r="X127" s="2"/>
    </row>
    <row r="128" ht="15.75" customHeight="1">
      <c r="R128" s="2"/>
      <c r="S128" s="2"/>
      <c r="T128" s="2"/>
      <c r="U128" s="2"/>
      <c r="V128" s="2"/>
      <c r="W128" s="2"/>
      <c r="X128" s="2"/>
    </row>
    <row r="129" ht="15.75" customHeight="1">
      <c r="R129" s="2"/>
      <c r="S129" s="2"/>
      <c r="T129" s="2"/>
      <c r="U129" s="2"/>
      <c r="V129" s="2"/>
      <c r="W129" s="2"/>
      <c r="X129" s="2"/>
    </row>
    <row r="130" ht="15.75" customHeight="1">
      <c r="R130" s="2"/>
      <c r="S130" s="2"/>
      <c r="T130" s="2"/>
      <c r="U130" s="2"/>
      <c r="V130" s="2"/>
      <c r="W130" s="2"/>
      <c r="X130" s="2"/>
    </row>
    <row r="131" ht="15.75" customHeight="1">
      <c r="R131" s="2"/>
      <c r="S131" s="2"/>
      <c r="T131" s="2"/>
      <c r="U131" s="2"/>
      <c r="V131" s="2"/>
      <c r="W131" s="2"/>
      <c r="X131" s="2"/>
    </row>
    <row r="132" ht="15.75" customHeight="1">
      <c r="R132" s="2"/>
      <c r="S132" s="2"/>
      <c r="T132" s="2"/>
      <c r="U132" s="2"/>
      <c r="V132" s="2"/>
      <c r="W132" s="2"/>
      <c r="X132" s="2"/>
    </row>
    <row r="133" ht="15.75" customHeight="1">
      <c r="R133" s="2"/>
      <c r="S133" s="2"/>
      <c r="T133" s="2"/>
      <c r="U133" s="2"/>
      <c r="V133" s="2"/>
      <c r="W133" s="2"/>
      <c r="X133" s="2"/>
    </row>
    <row r="134" ht="15.75" customHeight="1">
      <c r="R134" s="2"/>
      <c r="S134" s="2"/>
      <c r="T134" s="2"/>
      <c r="U134" s="2"/>
      <c r="V134" s="2"/>
      <c r="W134" s="2"/>
      <c r="X134" s="2"/>
    </row>
    <row r="135" ht="15.75" customHeight="1">
      <c r="R135" s="2"/>
      <c r="S135" s="2"/>
      <c r="T135" s="2"/>
      <c r="U135" s="2"/>
      <c r="V135" s="2"/>
      <c r="W135" s="2"/>
      <c r="X135" s="2"/>
    </row>
    <row r="136" ht="15.75" customHeight="1">
      <c r="R136" s="2"/>
      <c r="S136" s="2"/>
      <c r="T136" s="2"/>
      <c r="U136" s="2"/>
      <c r="V136" s="2"/>
      <c r="W136" s="2"/>
      <c r="X136" s="2"/>
    </row>
    <row r="137" ht="15.75" customHeight="1">
      <c r="R137" s="2"/>
      <c r="S137" s="2"/>
      <c r="T137" s="2"/>
      <c r="U137" s="2"/>
      <c r="V137" s="2"/>
      <c r="W137" s="2"/>
      <c r="X137" s="2"/>
    </row>
    <row r="138" ht="15.75" customHeight="1">
      <c r="R138" s="2"/>
      <c r="S138" s="2"/>
      <c r="T138" s="2"/>
      <c r="U138" s="2"/>
      <c r="V138" s="2"/>
      <c r="W138" s="2"/>
      <c r="X138" s="2"/>
    </row>
    <row r="139" ht="15.75" customHeight="1">
      <c r="R139" s="2"/>
      <c r="S139" s="2"/>
      <c r="T139" s="2"/>
      <c r="U139" s="2"/>
      <c r="V139" s="2"/>
      <c r="W139" s="2"/>
      <c r="X139" s="2"/>
    </row>
    <row r="140" ht="15.75" customHeight="1">
      <c r="R140" s="2"/>
      <c r="S140" s="2"/>
      <c r="T140" s="2"/>
      <c r="U140" s="2"/>
      <c r="V140" s="2"/>
      <c r="W140" s="2"/>
      <c r="X140" s="2"/>
    </row>
    <row r="141" ht="15.75" customHeight="1">
      <c r="R141" s="2"/>
      <c r="S141" s="2"/>
      <c r="T141" s="2"/>
      <c r="U141" s="2"/>
      <c r="V141" s="2"/>
      <c r="W141" s="2"/>
      <c r="X141" s="2"/>
    </row>
    <row r="142" ht="15.75" customHeight="1">
      <c r="R142" s="2"/>
      <c r="S142" s="2"/>
      <c r="T142" s="2"/>
      <c r="U142" s="2"/>
      <c r="V142" s="2"/>
      <c r="W142" s="2"/>
      <c r="X142" s="2"/>
    </row>
    <row r="143" ht="15.75" customHeight="1">
      <c r="R143" s="2"/>
      <c r="S143" s="2"/>
      <c r="T143" s="2"/>
      <c r="U143" s="2"/>
      <c r="V143" s="2"/>
      <c r="W143" s="2"/>
      <c r="X143" s="2"/>
    </row>
    <row r="144" ht="15.75" customHeight="1">
      <c r="R144" s="2"/>
      <c r="S144" s="2"/>
      <c r="T144" s="2"/>
      <c r="U144" s="2"/>
      <c r="V144" s="2"/>
      <c r="W144" s="2"/>
      <c r="X144" s="2"/>
    </row>
    <row r="145" ht="15.75" customHeight="1">
      <c r="R145" s="2"/>
      <c r="S145" s="2"/>
      <c r="T145" s="2"/>
      <c r="U145" s="2"/>
      <c r="V145" s="2"/>
      <c r="W145" s="2"/>
      <c r="X145" s="2"/>
    </row>
    <row r="146" ht="15.75" customHeight="1">
      <c r="R146" s="2"/>
      <c r="S146" s="2"/>
      <c r="T146" s="2"/>
      <c r="U146" s="2"/>
      <c r="V146" s="2"/>
      <c r="W146" s="2"/>
      <c r="X146" s="2"/>
    </row>
    <row r="147" ht="15.75" customHeight="1">
      <c r="R147" s="2"/>
      <c r="S147" s="2"/>
      <c r="T147" s="2"/>
      <c r="U147" s="2"/>
      <c r="V147" s="2"/>
      <c r="W147" s="2"/>
      <c r="X147" s="2"/>
    </row>
    <row r="148" ht="15.75" customHeight="1">
      <c r="R148" s="2"/>
      <c r="S148" s="2"/>
      <c r="T148" s="2"/>
      <c r="U148" s="2"/>
      <c r="V148" s="2"/>
      <c r="W148" s="2"/>
      <c r="X148" s="2"/>
    </row>
    <row r="149" ht="15.75" customHeight="1">
      <c r="R149" s="2"/>
      <c r="S149" s="2"/>
      <c r="T149" s="2"/>
      <c r="U149" s="2"/>
      <c r="V149" s="2"/>
      <c r="W149" s="2"/>
      <c r="X149" s="2"/>
    </row>
    <row r="150" ht="15.75" customHeight="1">
      <c r="R150" s="2"/>
      <c r="S150" s="2"/>
      <c r="T150" s="2"/>
      <c r="U150" s="2"/>
      <c r="V150" s="2"/>
      <c r="W150" s="2"/>
      <c r="X150" s="2"/>
    </row>
    <row r="151" ht="15.75" customHeight="1">
      <c r="R151" s="2"/>
      <c r="S151" s="2"/>
      <c r="T151" s="2"/>
      <c r="U151" s="2"/>
      <c r="V151" s="2"/>
      <c r="W151" s="2"/>
      <c r="X151" s="2"/>
    </row>
    <row r="152" ht="15.75" customHeight="1">
      <c r="R152" s="2"/>
      <c r="S152" s="2"/>
      <c r="T152" s="2"/>
      <c r="U152" s="2"/>
      <c r="V152" s="2"/>
      <c r="W152" s="2"/>
      <c r="X152" s="2"/>
    </row>
    <row r="153" ht="15.75" customHeight="1">
      <c r="R153" s="2"/>
      <c r="S153" s="2"/>
      <c r="T153" s="2"/>
      <c r="U153" s="2"/>
      <c r="V153" s="2"/>
      <c r="W153" s="2"/>
      <c r="X153" s="2"/>
    </row>
    <row r="154" ht="15.75" customHeight="1">
      <c r="R154" s="2"/>
      <c r="S154" s="2"/>
      <c r="T154" s="2"/>
      <c r="U154" s="2"/>
      <c r="V154" s="2"/>
      <c r="W154" s="2"/>
      <c r="X154" s="2"/>
    </row>
    <row r="155" ht="15.75" customHeight="1">
      <c r="R155" s="2"/>
      <c r="S155" s="2"/>
      <c r="T155" s="2"/>
      <c r="U155" s="2"/>
      <c r="V155" s="2"/>
      <c r="W155" s="2"/>
      <c r="X155" s="2"/>
    </row>
    <row r="156" ht="15.75" customHeight="1">
      <c r="R156" s="2"/>
      <c r="S156" s="2"/>
      <c r="T156" s="2"/>
      <c r="U156" s="2"/>
      <c r="V156" s="2"/>
      <c r="W156" s="2"/>
      <c r="X156" s="2"/>
    </row>
    <row r="157" ht="15.75" customHeight="1">
      <c r="R157" s="2"/>
      <c r="S157" s="2"/>
      <c r="T157" s="2"/>
      <c r="U157" s="2"/>
      <c r="V157" s="2"/>
      <c r="W157" s="2"/>
      <c r="X157" s="2"/>
    </row>
    <row r="158" ht="15.75" customHeight="1">
      <c r="R158" s="2"/>
      <c r="S158" s="2"/>
      <c r="T158" s="2"/>
      <c r="U158" s="2"/>
      <c r="V158" s="2"/>
      <c r="W158" s="2"/>
      <c r="X158" s="2"/>
    </row>
    <row r="159" ht="15.75" customHeight="1">
      <c r="R159" s="2"/>
      <c r="S159" s="2"/>
      <c r="T159" s="2"/>
      <c r="U159" s="2"/>
      <c r="V159" s="2"/>
      <c r="W159" s="2"/>
      <c r="X159" s="2"/>
    </row>
    <row r="160" ht="15.75" customHeight="1">
      <c r="R160" s="2"/>
      <c r="S160" s="2"/>
      <c r="T160" s="2"/>
      <c r="U160" s="2"/>
      <c r="V160" s="2"/>
      <c r="W160" s="2"/>
      <c r="X160" s="2"/>
    </row>
    <row r="161" ht="15.75" customHeight="1">
      <c r="R161" s="2"/>
      <c r="S161" s="2"/>
      <c r="T161" s="2"/>
      <c r="U161" s="2"/>
      <c r="V161" s="2"/>
      <c r="W161" s="2"/>
      <c r="X161" s="2"/>
    </row>
    <row r="162" ht="15.75" customHeight="1">
      <c r="R162" s="2"/>
      <c r="S162" s="2"/>
      <c r="T162" s="2"/>
      <c r="U162" s="2"/>
      <c r="V162" s="2"/>
      <c r="W162" s="2"/>
      <c r="X162" s="2"/>
    </row>
    <row r="163" ht="15.75" customHeight="1">
      <c r="R163" s="2"/>
      <c r="S163" s="2"/>
      <c r="T163" s="2"/>
      <c r="U163" s="2"/>
      <c r="V163" s="2"/>
      <c r="W163" s="2"/>
      <c r="X163" s="2"/>
    </row>
    <row r="164" ht="15.75" customHeight="1">
      <c r="R164" s="2"/>
      <c r="S164" s="2"/>
      <c r="T164" s="2"/>
      <c r="U164" s="2"/>
      <c r="V164" s="2"/>
      <c r="W164" s="2"/>
      <c r="X164" s="2"/>
    </row>
    <row r="165" ht="15.75" customHeight="1">
      <c r="R165" s="2"/>
      <c r="S165" s="2"/>
      <c r="T165" s="2"/>
      <c r="U165" s="2"/>
      <c r="V165" s="2"/>
      <c r="W165" s="2"/>
      <c r="X165" s="2"/>
    </row>
    <row r="166" ht="15.75" customHeight="1">
      <c r="R166" s="2"/>
      <c r="S166" s="2"/>
      <c r="T166" s="2"/>
      <c r="U166" s="2"/>
      <c r="V166" s="2"/>
      <c r="W166" s="2"/>
      <c r="X166" s="2"/>
    </row>
    <row r="167" ht="15.75" customHeight="1">
      <c r="R167" s="2"/>
      <c r="S167" s="2"/>
      <c r="T167" s="2"/>
      <c r="U167" s="2"/>
      <c r="V167" s="2"/>
      <c r="W167" s="2"/>
      <c r="X167" s="2"/>
    </row>
    <row r="168" ht="15.75" customHeight="1">
      <c r="R168" s="2"/>
      <c r="S168" s="2"/>
      <c r="T168" s="2"/>
      <c r="U168" s="2"/>
      <c r="V168" s="2"/>
      <c r="W168" s="2"/>
      <c r="X168" s="2"/>
    </row>
    <row r="169" ht="15.75" customHeight="1">
      <c r="R169" s="2"/>
      <c r="S169" s="2"/>
      <c r="T169" s="2"/>
      <c r="U169" s="2"/>
      <c r="V169" s="2"/>
      <c r="W169" s="2"/>
      <c r="X169" s="2"/>
    </row>
    <row r="170" ht="15.75" customHeight="1">
      <c r="R170" s="2"/>
      <c r="S170" s="2"/>
      <c r="T170" s="2"/>
      <c r="U170" s="2"/>
      <c r="V170" s="2"/>
      <c r="W170" s="2"/>
      <c r="X170" s="2"/>
    </row>
    <row r="171" ht="15.75" customHeight="1">
      <c r="R171" s="2"/>
      <c r="S171" s="2"/>
      <c r="T171" s="2"/>
      <c r="U171" s="2"/>
      <c r="V171" s="2"/>
      <c r="W171" s="2"/>
      <c r="X171" s="2"/>
    </row>
    <row r="172" ht="15.75" customHeight="1">
      <c r="R172" s="2"/>
      <c r="S172" s="2"/>
      <c r="T172" s="2"/>
      <c r="U172" s="2"/>
      <c r="V172" s="2"/>
      <c r="W172" s="2"/>
      <c r="X172" s="2"/>
    </row>
    <row r="173" ht="15.75" customHeight="1">
      <c r="R173" s="2"/>
      <c r="S173" s="2"/>
      <c r="T173" s="2"/>
      <c r="U173" s="2"/>
      <c r="V173" s="2"/>
      <c r="W173" s="2"/>
      <c r="X173" s="2"/>
    </row>
    <row r="174" ht="15.75" customHeight="1">
      <c r="R174" s="2"/>
      <c r="S174" s="2"/>
      <c r="T174" s="2"/>
      <c r="U174" s="2"/>
      <c r="V174" s="2"/>
      <c r="W174" s="2"/>
      <c r="X174" s="2"/>
    </row>
    <row r="175" ht="15.75" customHeight="1">
      <c r="R175" s="2"/>
      <c r="S175" s="2"/>
      <c r="T175" s="2"/>
      <c r="U175" s="2"/>
      <c r="V175" s="2"/>
      <c r="W175" s="2"/>
      <c r="X175" s="2"/>
    </row>
    <row r="176" ht="15.75" customHeight="1">
      <c r="R176" s="2"/>
      <c r="S176" s="2"/>
      <c r="T176" s="2"/>
      <c r="U176" s="2"/>
      <c r="V176" s="2"/>
      <c r="W176" s="2"/>
      <c r="X176" s="2"/>
    </row>
    <row r="177" ht="15.75" customHeight="1">
      <c r="R177" s="2"/>
      <c r="S177" s="2"/>
      <c r="T177" s="2"/>
      <c r="U177" s="2"/>
      <c r="V177" s="2"/>
      <c r="W177" s="2"/>
      <c r="X177" s="2"/>
    </row>
    <row r="178" ht="15.75" customHeight="1">
      <c r="R178" s="2"/>
      <c r="S178" s="2"/>
      <c r="T178" s="2"/>
      <c r="U178" s="2"/>
      <c r="V178" s="2"/>
      <c r="W178" s="2"/>
      <c r="X178" s="2"/>
    </row>
    <row r="179" ht="15.75" customHeight="1">
      <c r="R179" s="2"/>
      <c r="S179" s="2"/>
      <c r="T179" s="2"/>
      <c r="U179" s="2"/>
      <c r="V179" s="2"/>
      <c r="W179" s="2"/>
      <c r="X179" s="2"/>
    </row>
    <row r="180" ht="15.75" customHeight="1">
      <c r="R180" s="2"/>
      <c r="S180" s="2"/>
      <c r="T180" s="2"/>
      <c r="U180" s="2"/>
      <c r="V180" s="2"/>
      <c r="W180" s="2"/>
      <c r="X180" s="2"/>
    </row>
    <row r="181" ht="15.75" customHeight="1">
      <c r="R181" s="2"/>
      <c r="S181" s="2"/>
      <c r="T181" s="2"/>
      <c r="U181" s="2"/>
      <c r="V181" s="2"/>
      <c r="W181" s="2"/>
      <c r="X181" s="2"/>
    </row>
    <row r="182" ht="15.75" customHeight="1">
      <c r="R182" s="2"/>
      <c r="S182" s="2"/>
      <c r="T182" s="2"/>
      <c r="U182" s="2"/>
      <c r="V182" s="2"/>
      <c r="W182" s="2"/>
      <c r="X182" s="2"/>
    </row>
    <row r="183" ht="15.75" customHeight="1">
      <c r="R183" s="2"/>
      <c r="S183" s="2"/>
      <c r="T183" s="2"/>
      <c r="U183" s="2"/>
      <c r="V183" s="2"/>
      <c r="W183" s="2"/>
      <c r="X183" s="2"/>
    </row>
    <row r="184" ht="15.75" customHeight="1">
      <c r="R184" s="2"/>
      <c r="S184" s="2"/>
      <c r="T184" s="2"/>
      <c r="U184" s="2"/>
      <c r="V184" s="2"/>
      <c r="W184" s="2"/>
      <c r="X184" s="2"/>
    </row>
    <row r="185" ht="15.75" customHeight="1">
      <c r="R185" s="2"/>
      <c r="S185" s="2"/>
      <c r="T185" s="2"/>
      <c r="U185" s="2"/>
      <c r="V185" s="2"/>
      <c r="W185" s="2"/>
      <c r="X185" s="2"/>
    </row>
    <row r="186" ht="15.75" customHeight="1">
      <c r="R186" s="2"/>
      <c r="S186" s="2"/>
      <c r="T186" s="2"/>
      <c r="U186" s="2"/>
      <c r="V186" s="2"/>
      <c r="W186" s="2"/>
      <c r="X186" s="2"/>
    </row>
    <row r="187" ht="15.75" customHeight="1">
      <c r="R187" s="2"/>
      <c r="S187" s="2"/>
      <c r="T187" s="2"/>
      <c r="U187" s="2"/>
      <c r="V187" s="2"/>
      <c r="W187" s="2"/>
      <c r="X187" s="2"/>
    </row>
    <row r="188" ht="15.75" customHeight="1">
      <c r="R188" s="2"/>
      <c r="S188" s="2"/>
      <c r="T188" s="2"/>
      <c r="U188" s="2"/>
      <c r="V188" s="2"/>
      <c r="W188" s="2"/>
      <c r="X188" s="2"/>
    </row>
    <row r="189" ht="15.75" customHeight="1">
      <c r="R189" s="2"/>
      <c r="S189" s="2"/>
      <c r="T189" s="2"/>
      <c r="U189" s="2"/>
      <c r="V189" s="2"/>
      <c r="W189" s="2"/>
      <c r="X189" s="2"/>
    </row>
    <row r="190" ht="15.75" customHeight="1">
      <c r="R190" s="2"/>
      <c r="S190" s="2"/>
      <c r="T190" s="2"/>
      <c r="U190" s="2"/>
      <c r="V190" s="2"/>
      <c r="W190" s="2"/>
      <c r="X190" s="2"/>
    </row>
    <row r="191" ht="15.75" customHeight="1">
      <c r="R191" s="2"/>
      <c r="S191" s="2"/>
      <c r="T191" s="2"/>
      <c r="U191" s="2"/>
      <c r="V191" s="2"/>
      <c r="W191" s="2"/>
      <c r="X191" s="2"/>
    </row>
    <row r="192" ht="15.75" customHeight="1">
      <c r="R192" s="2"/>
      <c r="S192" s="2"/>
      <c r="T192" s="2"/>
      <c r="U192" s="2"/>
      <c r="V192" s="2"/>
      <c r="W192" s="2"/>
      <c r="X192" s="2"/>
    </row>
    <row r="193" ht="15.75" customHeight="1">
      <c r="R193" s="2"/>
      <c r="S193" s="2"/>
      <c r="T193" s="2"/>
      <c r="U193" s="2"/>
      <c r="V193" s="2"/>
      <c r="W193" s="2"/>
      <c r="X193" s="2"/>
    </row>
    <row r="194" ht="15.75" customHeight="1">
      <c r="R194" s="2"/>
      <c r="S194" s="2"/>
      <c r="T194" s="2"/>
      <c r="U194" s="2"/>
      <c r="V194" s="2"/>
      <c r="W194" s="2"/>
      <c r="X194" s="2"/>
    </row>
    <row r="195" ht="15.75" customHeight="1">
      <c r="R195" s="2"/>
      <c r="S195" s="2"/>
      <c r="T195" s="2"/>
      <c r="U195" s="2"/>
      <c r="V195" s="2"/>
      <c r="W195" s="2"/>
      <c r="X195" s="2"/>
    </row>
    <row r="196" ht="15.75" customHeight="1">
      <c r="R196" s="2"/>
      <c r="S196" s="2"/>
      <c r="T196" s="2"/>
      <c r="U196" s="2"/>
      <c r="V196" s="2"/>
      <c r="W196" s="2"/>
      <c r="X196" s="2"/>
    </row>
    <row r="197" ht="15.75" customHeight="1">
      <c r="R197" s="2"/>
      <c r="S197" s="2"/>
      <c r="T197" s="2"/>
      <c r="U197" s="2"/>
      <c r="V197" s="2"/>
      <c r="W197" s="2"/>
      <c r="X197" s="2"/>
    </row>
    <row r="198" ht="15.75" customHeight="1">
      <c r="R198" s="2"/>
      <c r="S198" s="2"/>
      <c r="T198" s="2"/>
      <c r="U198" s="2"/>
      <c r="V198" s="2"/>
      <c r="W198" s="2"/>
      <c r="X198" s="2"/>
    </row>
    <row r="199" ht="15.75" customHeight="1">
      <c r="R199" s="2"/>
      <c r="S199" s="2"/>
      <c r="T199" s="2"/>
      <c r="U199" s="2"/>
      <c r="V199" s="2"/>
      <c r="W199" s="2"/>
      <c r="X199" s="2"/>
    </row>
    <row r="200" ht="15.75" customHeight="1">
      <c r="R200" s="2"/>
      <c r="S200" s="2"/>
      <c r="T200" s="2"/>
      <c r="U200" s="2"/>
      <c r="V200" s="2"/>
      <c r="W200" s="2"/>
      <c r="X200" s="2"/>
    </row>
    <row r="201" ht="15.75" customHeight="1">
      <c r="R201" s="2"/>
      <c r="S201" s="2"/>
      <c r="T201" s="2"/>
      <c r="U201" s="2"/>
      <c r="V201" s="2"/>
      <c r="W201" s="2"/>
      <c r="X201" s="2"/>
    </row>
    <row r="202" ht="15.75" customHeight="1">
      <c r="R202" s="2"/>
      <c r="S202" s="2"/>
      <c r="T202" s="2"/>
      <c r="U202" s="2"/>
      <c r="V202" s="2"/>
      <c r="W202" s="2"/>
      <c r="X202" s="2"/>
    </row>
    <row r="203" ht="15.75" customHeight="1">
      <c r="R203" s="2"/>
      <c r="S203" s="2"/>
      <c r="T203" s="2"/>
      <c r="U203" s="2"/>
      <c r="V203" s="2"/>
      <c r="W203" s="2"/>
      <c r="X203" s="2"/>
    </row>
    <row r="204" ht="15.75" customHeight="1">
      <c r="R204" s="2"/>
      <c r="S204" s="2"/>
      <c r="T204" s="2"/>
      <c r="U204" s="2"/>
      <c r="V204" s="2"/>
      <c r="W204" s="2"/>
      <c r="X204" s="2"/>
    </row>
    <row r="205" ht="15.75" customHeight="1">
      <c r="R205" s="2"/>
      <c r="S205" s="2"/>
      <c r="T205" s="2"/>
      <c r="U205" s="2"/>
      <c r="V205" s="2"/>
      <c r="W205" s="2"/>
      <c r="X205" s="2"/>
    </row>
    <row r="206" ht="15.75" customHeight="1">
      <c r="R206" s="2"/>
      <c r="S206" s="2"/>
      <c r="T206" s="2"/>
      <c r="U206" s="2"/>
      <c r="V206" s="2"/>
      <c r="W206" s="2"/>
      <c r="X206" s="2"/>
    </row>
    <row r="207" ht="15.75" customHeight="1">
      <c r="R207" s="2"/>
      <c r="S207" s="2"/>
      <c r="T207" s="2"/>
      <c r="U207" s="2"/>
      <c r="V207" s="2"/>
      <c r="W207" s="2"/>
      <c r="X207" s="2"/>
    </row>
    <row r="208" ht="15.75" customHeight="1">
      <c r="R208" s="2"/>
      <c r="S208" s="2"/>
      <c r="T208" s="2"/>
      <c r="U208" s="2"/>
      <c r="V208" s="2"/>
      <c r="W208" s="2"/>
      <c r="X208" s="2"/>
    </row>
    <row r="209" ht="15.75" customHeight="1">
      <c r="R209" s="2"/>
      <c r="S209" s="2"/>
      <c r="T209" s="2"/>
      <c r="U209" s="2"/>
      <c r="V209" s="2"/>
      <c r="W209" s="2"/>
      <c r="X209" s="2"/>
    </row>
    <row r="210" ht="15.75" customHeight="1">
      <c r="R210" s="2"/>
      <c r="S210" s="2"/>
      <c r="T210" s="2"/>
      <c r="U210" s="2"/>
      <c r="V210" s="2"/>
      <c r="W210" s="2"/>
      <c r="X210" s="2"/>
    </row>
    <row r="211" ht="15.75" customHeight="1">
      <c r="R211" s="2"/>
      <c r="S211" s="2"/>
      <c r="T211" s="2"/>
      <c r="U211" s="2"/>
      <c r="V211" s="2"/>
      <c r="W211" s="2"/>
      <c r="X211" s="2"/>
    </row>
    <row r="212" ht="15.75" customHeight="1">
      <c r="R212" s="2"/>
      <c r="S212" s="2"/>
      <c r="T212" s="2"/>
      <c r="U212" s="2"/>
      <c r="V212" s="2"/>
      <c r="W212" s="2"/>
      <c r="X212" s="2"/>
    </row>
    <row r="213" ht="15.75" customHeight="1">
      <c r="R213" s="2"/>
      <c r="S213" s="2"/>
      <c r="T213" s="2"/>
      <c r="U213" s="2"/>
      <c r="V213" s="2"/>
      <c r="W213" s="2"/>
      <c r="X213" s="2"/>
    </row>
    <row r="214" ht="15.75" customHeight="1">
      <c r="R214" s="2"/>
      <c r="S214" s="2"/>
      <c r="T214" s="2"/>
      <c r="U214" s="2"/>
      <c r="V214" s="2"/>
      <c r="W214" s="2"/>
      <c r="X214" s="2"/>
    </row>
    <row r="215" ht="15.75" customHeight="1">
      <c r="R215" s="2"/>
      <c r="S215" s="2"/>
      <c r="T215" s="2"/>
      <c r="U215" s="2"/>
      <c r="V215" s="2"/>
      <c r="W215" s="2"/>
      <c r="X215" s="2"/>
    </row>
    <row r="216" ht="15.75" customHeight="1">
      <c r="R216" s="2"/>
      <c r="S216" s="2"/>
      <c r="T216" s="2"/>
      <c r="U216" s="2"/>
      <c r="V216" s="2"/>
      <c r="W216" s="2"/>
      <c r="X216" s="2"/>
    </row>
    <row r="217" ht="15.75" customHeight="1">
      <c r="R217" s="2"/>
      <c r="S217" s="2"/>
      <c r="T217" s="2"/>
      <c r="U217" s="2"/>
      <c r="V217" s="2"/>
      <c r="W217" s="2"/>
      <c r="X217" s="2"/>
    </row>
    <row r="218" ht="15.75" customHeight="1">
      <c r="R218" s="2"/>
      <c r="S218" s="2"/>
      <c r="T218" s="2"/>
      <c r="U218" s="2"/>
      <c r="V218" s="2"/>
      <c r="W218" s="2"/>
      <c r="X218" s="2"/>
    </row>
    <row r="219" ht="15.75" customHeight="1">
      <c r="R219" s="2"/>
      <c r="S219" s="2"/>
      <c r="T219" s="2"/>
      <c r="U219" s="2"/>
      <c r="V219" s="2"/>
      <c r="W219" s="2"/>
      <c r="X219" s="2"/>
    </row>
    <row r="220" ht="15.75" customHeight="1">
      <c r="R220" s="2"/>
      <c r="S220" s="2"/>
      <c r="T220" s="2"/>
      <c r="U220" s="2"/>
      <c r="V220" s="2"/>
      <c r="W220" s="2"/>
      <c r="X220" s="2"/>
    </row>
    <row r="221" ht="15.75" customHeight="1">
      <c r="R221" s="2"/>
      <c r="S221" s="2"/>
      <c r="T221" s="2"/>
      <c r="U221" s="2"/>
      <c r="V221" s="2"/>
      <c r="W221" s="2"/>
      <c r="X221" s="2"/>
    </row>
    <row r="222" ht="15.75" customHeight="1">
      <c r="R222" s="2"/>
      <c r="S222" s="2"/>
      <c r="T222" s="2"/>
      <c r="U222" s="2"/>
      <c r="V222" s="2"/>
      <c r="W222" s="2"/>
      <c r="X222" s="2"/>
    </row>
    <row r="223" ht="15.75" customHeight="1">
      <c r="R223" s="2"/>
      <c r="S223" s="2"/>
      <c r="T223" s="2"/>
      <c r="U223" s="2"/>
      <c r="V223" s="2"/>
      <c r="W223" s="2"/>
      <c r="X223" s="2"/>
    </row>
    <row r="224" ht="15.75" customHeight="1">
      <c r="R224" s="2"/>
      <c r="S224" s="2"/>
      <c r="T224" s="2"/>
      <c r="U224" s="2"/>
      <c r="V224" s="2"/>
      <c r="W224" s="2"/>
      <c r="X224" s="2"/>
    </row>
    <row r="225" ht="15.75" customHeight="1">
      <c r="R225" s="2"/>
      <c r="S225" s="2"/>
      <c r="T225" s="2"/>
      <c r="U225" s="2"/>
      <c r="V225" s="2"/>
      <c r="W225" s="2"/>
      <c r="X225" s="2"/>
    </row>
    <row r="226" ht="15.75" customHeight="1">
      <c r="R226" s="2"/>
      <c r="S226" s="2"/>
      <c r="T226" s="2"/>
      <c r="U226" s="2"/>
      <c r="V226" s="2"/>
      <c r="W226" s="2"/>
      <c r="X226" s="2"/>
    </row>
    <row r="227" ht="15.75" customHeight="1">
      <c r="R227" s="2"/>
      <c r="S227" s="2"/>
      <c r="T227" s="2"/>
      <c r="U227" s="2"/>
      <c r="V227" s="2"/>
      <c r="W227" s="2"/>
      <c r="X227" s="2"/>
    </row>
    <row r="228" ht="15.75" customHeight="1">
      <c r="R228" s="2"/>
      <c r="S228" s="2"/>
      <c r="T228" s="2"/>
      <c r="U228" s="2"/>
      <c r="V228" s="2"/>
      <c r="W228" s="2"/>
      <c r="X228" s="2"/>
    </row>
    <row r="229" ht="15.75" customHeight="1">
      <c r="R229" s="2"/>
      <c r="S229" s="2"/>
      <c r="T229" s="2"/>
      <c r="U229" s="2"/>
      <c r="V229" s="2"/>
      <c r="W229" s="2"/>
      <c r="X229" s="2"/>
    </row>
    <row r="230" ht="15.75" customHeight="1">
      <c r="R230" s="2"/>
      <c r="S230" s="2"/>
      <c r="T230" s="2"/>
      <c r="U230" s="2"/>
      <c r="V230" s="2"/>
      <c r="W230" s="2"/>
      <c r="X230" s="2"/>
    </row>
    <row r="231" ht="15.75" customHeight="1">
      <c r="R231" s="2"/>
      <c r="S231" s="2"/>
      <c r="T231" s="2"/>
      <c r="U231" s="2"/>
      <c r="V231" s="2"/>
      <c r="W231" s="2"/>
      <c r="X231" s="2"/>
    </row>
    <row r="232" ht="15.75" customHeight="1">
      <c r="R232" s="2"/>
      <c r="S232" s="2"/>
      <c r="T232" s="2"/>
      <c r="U232" s="2"/>
      <c r="V232" s="2"/>
      <c r="W232" s="2"/>
      <c r="X232" s="2"/>
    </row>
    <row r="233" ht="15.75" customHeight="1">
      <c r="R233" s="2"/>
      <c r="S233" s="2"/>
      <c r="T233" s="2"/>
      <c r="U233" s="2"/>
      <c r="V233" s="2"/>
      <c r="W233" s="2"/>
      <c r="X233" s="2"/>
    </row>
    <row r="234" ht="15.75" customHeight="1">
      <c r="R234" s="2"/>
      <c r="S234" s="2"/>
      <c r="T234" s="2"/>
      <c r="U234" s="2"/>
      <c r="V234" s="2"/>
      <c r="W234" s="2"/>
      <c r="X234" s="2"/>
    </row>
    <row r="235" ht="15.75" customHeight="1">
      <c r="R235" s="2"/>
      <c r="S235" s="2"/>
      <c r="T235" s="2"/>
      <c r="U235" s="2"/>
      <c r="V235" s="2"/>
      <c r="W235" s="2"/>
      <c r="X235" s="2"/>
    </row>
    <row r="236" ht="15.75" customHeight="1">
      <c r="R236" s="2"/>
      <c r="S236" s="2"/>
      <c r="T236" s="2"/>
      <c r="U236" s="2"/>
      <c r="V236" s="2"/>
      <c r="W236" s="2"/>
      <c r="X236" s="2"/>
    </row>
    <row r="237" ht="15.75" customHeight="1">
      <c r="R237" s="2"/>
      <c r="S237" s="2"/>
      <c r="T237" s="2"/>
      <c r="U237" s="2"/>
      <c r="V237" s="2"/>
      <c r="W237" s="2"/>
      <c r="X237" s="2"/>
    </row>
    <row r="238" ht="15.75" customHeight="1">
      <c r="R238" s="2"/>
      <c r="S238" s="2"/>
      <c r="T238" s="2"/>
      <c r="U238" s="2"/>
      <c r="V238" s="2"/>
      <c r="W238" s="2"/>
      <c r="X238" s="2"/>
    </row>
    <row r="239" ht="15.75" customHeight="1">
      <c r="R239" s="2"/>
      <c r="S239" s="2"/>
      <c r="T239" s="2"/>
      <c r="U239" s="2"/>
      <c r="V239" s="2"/>
      <c r="W239" s="2"/>
      <c r="X239" s="2"/>
    </row>
    <row r="240" ht="15.75" customHeight="1">
      <c r="R240" s="2"/>
      <c r="S240" s="2"/>
      <c r="T240" s="2"/>
      <c r="U240" s="2"/>
      <c r="V240" s="2"/>
      <c r="W240" s="2"/>
      <c r="X240" s="2"/>
    </row>
    <row r="241" ht="15.75" customHeight="1">
      <c r="R241" s="2"/>
      <c r="S241" s="2"/>
      <c r="T241" s="2"/>
      <c r="U241" s="2"/>
      <c r="V241" s="2"/>
      <c r="W241" s="2"/>
      <c r="X241" s="2"/>
    </row>
    <row r="242" ht="15.75" customHeight="1">
      <c r="R242" s="2"/>
      <c r="S242" s="2"/>
      <c r="T242" s="2"/>
      <c r="U242" s="2"/>
      <c r="V242" s="2"/>
      <c r="W242" s="2"/>
      <c r="X242" s="2"/>
    </row>
    <row r="243" ht="15.75" customHeight="1">
      <c r="R243" s="2"/>
      <c r="S243" s="2"/>
      <c r="T243" s="2"/>
      <c r="U243" s="2"/>
      <c r="V243" s="2"/>
      <c r="W243" s="2"/>
      <c r="X243" s="2"/>
    </row>
    <row r="244" ht="15.75" customHeight="1">
      <c r="R244" s="2"/>
      <c r="S244" s="2"/>
      <c r="T244" s="2"/>
      <c r="U244" s="2"/>
      <c r="V244" s="2"/>
      <c r="W244" s="2"/>
      <c r="X244" s="2"/>
    </row>
    <row r="245" ht="15.75" customHeight="1">
      <c r="R245" s="2"/>
      <c r="S245" s="2"/>
      <c r="T245" s="2"/>
      <c r="U245" s="2"/>
      <c r="V245" s="2"/>
      <c r="W245" s="2"/>
      <c r="X245" s="2"/>
    </row>
    <row r="246" ht="15.75" customHeight="1">
      <c r="R246" s="2"/>
      <c r="S246" s="2"/>
      <c r="T246" s="2"/>
      <c r="U246" s="2"/>
      <c r="V246" s="2"/>
      <c r="W246" s="2"/>
      <c r="X246" s="2"/>
    </row>
    <row r="247" ht="15.75" customHeight="1">
      <c r="R247" s="2"/>
      <c r="S247" s="2"/>
      <c r="T247" s="2"/>
      <c r="U247" s="2"/>
      <c r="V247" s="2"/>
      <c r="W247" s="2"/>
      <c r="X247" s="2"/>
    </row>
    <row r="248" ht="15.75" customHeight="1">
      <c r="R248" s="2"/>
      <c r="S248" s="2"/>
      <c r="T248" s="2"/>
      <c r="U248" s="2"/>
      <c r="V248" s="2"/>
      <c r="W248" s="2"/>
      <c r="X248" s="2"/>
    </row>
    <row r="249" ht="15.75" customHeight="1">
      <c r="R249" s="2"/>
      <c r="S249" s="2"/>
      <c r="T249" s="2"/>
      <c r="U249" s="2"/>
      <c r="V249" s="2"/>
      <c r="W249" s="2"/>
      <c r="X249" s="2"/>
    </row>
    <row r="250" ht="15.75" customHeight="1">
      <c r="R250" s="2"/>
      <c r="S250" s="2"/>
      <c r="T250" s="2"/>
      <c r="U250" s="2"/>
      <c r="V250" s="2"/>
      <c r="W250" s="2"/>
      <c r="X250" s="2"/>
    </row>
    <row r="251" ht="15.75" customHeight="1">
      <c r="R251" s="2"/>
      <c r="S251" s="2"/>
      <c r="T251" s="2"/>
      <c r="U251" s="2"/>
      <c r="V251" s="2"/>
      <c r="W251" s="2"/>
      <c r="X251" s="2"/>
    </row>
    <row r="252" ht="15.75" customHeight="1">
      <c r="R252" s="2"/>
      <c r="S252" s="2"/>
      <c r="T252" s="2"/>
      <c r="U252" s="2"/>
      <c r="V252" s="2"/>
      <c r="W252" s="2"/>
      <c r="X252" s="2"/>
    </row>
    <row r="253" ht="15.75" customHeight="1">
      <c r="R253" s="2"/>
      <c r="S253" s="2"/>
      <c r="T253" s="2"/>
      <c r="U253" s="2"/>
      <c r="V253" s="2"/>
      <c r="W253" s="2"/>
      <c r="X253" s="2"/>
    </row>
    <row r="254" ht="15.75" customHeight="1">
      <c r="R254" s="2"/>
      <c r="S254" s="2"/>
      <c r="T254" s="2"/>
      <c r="U254" s="2"/>
      <c r="V254" s="2"/>
      <c r="W254" s="2"/>
      <c r="X254" s="2"/>
    </row>
    <row r="255" ht="15.75" customHeight="1">
      <c r="R255" s="2"/>
      <c r="S255" s="2"/>
      <c r="T255" s="2"/>
      <c r="U255" s="2"/>
      <c r="V255" s="2"/>
      <c r="W255" s="2"/>
      <c r="X255" s="2"/>
    </row>
    <row r="256" ht="15.75" customHeight="1">
      <c r="R256" s="2"/>
      <c r="S256" s="2"/>
      <c r="T256" s="2"/>
      <c r="U256" s="2"/>
      <c r="V256" s="2"/>
      <c r="W256" s="2"/>
      <c r="X256" s="2"/>
    </row>
    <row r="257" ht="15.75" customHeight="1">
      <c r="R257" s="2"/>
      <c r="S257" s="2"/>
      <c r="T257" s="2"/>
      <c r="U257" s="2"/>
      <c r="V257" s="2"/>
      <c r="W257" s="2"/>
      <c r="X257" s="2"/>
    </row>
    <row r="258" ht="15.75" customHeight="1">
      <c r="R258" s="2"/>
      <c r="S258" s="2"/>
      <c r="T258" s="2"/>
      <c r="U258" s="2"/>
      <c r="V258" s="2"/>
      <c r="W258" s="2"/>
      <c r="X258" s="2"/>
    </row>
    <row r="259" ht="15.75" customHeight="1">
      <c r="R259" s="2"/>
      <c r="S259" s="2"/>
      <c r="T259" s="2"/>
      <c r="U259" s="2"/>
      <c r="V259" s="2"/>
      <c r="W259" s="2"/>
      <c r="X259" s="2"/>
    </row>
    <row r="260" ht="15.75" customHeight="1">
      <c r="R260" s="2"/>
      <c r="S260" s="2"/>
      <c r="T260" s="2"/>
      <c r="U260" s="2"/>
      <c r="V260" s="2"/>
      <c r="W260" s="2"/>
      <c r="X260" s="2"/>
    </row>
    <row r="261" ht="15.75" customHeight="1">
      <c r="R261" s="2"/>
      <c r="S261" s="2"/>
      <c r="T261" s="2"/>
      <c r="U261" s="2"/>
      <c r="V261" s="2"/>
      <c r="W261" s="2"/>
      <c r="X261" s="2"/>
    </row>
    <row r="262" ht="15.75" customHeight="1">
      <c r="R262" s="2"/>
      <c r="S262" s="2"/>
      <c r="T262" s="2"/>
      <c r="U262" s="2"/>
      <c r="V262" s="2"/>
      <c r="W262" s="2"/>
      <c r="X262" s="2"/>
    </row>
    <row r="263" ht="15.75" customHeight="1">
      <c r="R263" s="2"/>
      <c r="S263" s="2"/>
      <c r="T263" s="2"/>
      <c r="U263" s="2"/>
      <c r="V263" s="2"/>
      <c r="W263" s="2"/>
      <c r="X263" s="2"/>
    </row>
    <row r="264" ht="15.75" customHeight="1">
      <c r="R264" s="2"/>
      <c r="S264" s="2"/>
      <c r="T264" s="2"/>
      <c r="U264" s="2"/>
      <c r="V264" s="2"/>
      <c r="W264" s="2"/>
      <c r="X264" s="2"/>
    </row>
    <row r="265" ht="15.75" customHeight="1">
      <c r="R265" s="2"/>
      <c r="S265" s="2"/>
      <c r="T265" s="2"/>
      <c r="U265" s="2"/>
      <c r="V265" s="2"/>
      <c r="W265" s="2"/>
      <c r="X265" s="2"/>
    </row>
    <row r="266" ht="15.75" customHeight="1">
      <c r="R266" s="2"/>
      <c r="S266" s="2"/>
      <c r="T266" s="2"/>
      <c r="U266" s="2"/>
      <c r="V266" s="2"/>
      <c r="W266" s="2"/>
      <c r="X266" s="2"/>
    </row>
    <row r="267" ht="15.75" customHeight="1">
      <c r="R267" s="2"/>
      <c r="S267" s="2"/>
      <c r="T267" s="2"/>
      <c r="U267" s="2"/>
      <c r="V267" s="2"/>
      <c r="W267" s="2"/>
      <c r="X267" s="2"/>
    </row>
    <row r="268" ht="15.75" customHeight="1">
      <c r="R268" s="2"/>
      <c r="S268" s="2"/>
      <c r="T268" s="2"/>
      <c r="U268" s="2"/>
      <c r="V268" s="2"/>
      <c r="W268" s="2"/>
      <c r="X268" s="2"/>
    </row>
    <row r="269" ht="15.75" customHeight="1">
      <c r="R269" s="2"/>
      <c r="S269" s="2"/>
      <c r="T269" s="2"/>
      <c r="U269" s="2"/>
      <c r="V269" s="2"/>
      <c r="W269" s="2"/>
      <c r="X269" s="2"/>
    </row>
    <row r="270" ht="15.75" customHeight="1">
      <c r="R270" s="2"/>
      <c r="S270" s="2"/>
      <c r="T270" s="2"/>
      <c r="U270" s="2"/>
      <c r="V270" s="2"/>
      <c r="W270" s="2"/>
      <c r="X270" s="2"/>
    </row>
    <row r="271" ht="15.75" customHeight="1">
      <c r="R271" s="2"/>
      <c r="S271" s="2"/>
      <c r="T271" s="2"/>
      <c r="U271" s="2"/>
      <c r="V271" s="2"/>
      <c r="W271" s="2"/>
      <c r="X271" s="2"/>
    </row>
    <row r="272" ht="15.75" customHeight="1">
      <c r="R272" s="2"/>
      <c r="S272" s="2"/>
      <c r="T272" s="2"/>
      <c r="U272" s="2"/>
      <c r="V272" s="2"/>
      <c r="W272" s="2"/>
      <c r="X272" s="2"/>
    </row>
    <row r="273" ht="15.75" customHeight="1">
      <c r="R273" s="2"/>
      <c r="S273" s="2"/>
      <c r="T273" s="2"/>
      <c r="U273" s="2"/>
      <c r="V273" s="2"/>
      <c r="W273" s="2"/>
      <c r="X273" s="2"/>
    </row>
    <row r="274" ht="15.75" customHeight="1">
      <c r="R274" s="2"/>
      <c r="S274" s="2"/>
      <c r="T274" s="2"/>
      <c r="U274" s="2"/>
      <c r="V274" s="2"/>
      <c r="W274" s="2"/>
      <c r="X274" s="2"/>
    </row>
    <row r="275" ht="15.75" customHeight="1">
      <c r="R275" s="2"/>
      <c r="S275" s="2"/>
      <c r="T275" s="2"/>
      <c r="U275" s="2"/>
      <c r="V275" s="2"/>
      <c r="W275" s="2"/>
      <c r="X275" s="2"/>
    </row>
    <row r="276" ht="15.75" customHeight="1">
      <c r="R276" s="2"/>
      <c r="S276" s="2"/>
      <c r="T276" s="2"/>
      <c r="U276" s="2"/>
      <c r="V276" s="2"/>
      <c r="W276" s="2"/>
      <c r="X276" s="2"/>
    </row>
    <row r="277" ht="15.75" customHeight="1">
      <c r="R277" s="2"/>
      <c r="S277" s="2"/>
      <c r="T277" s="2"/>
      <c r="U277" s="2"/>
      <c r="V277" s="2"/>
      <c r="W277" s="2"/>
      <c r="X277" s="2"/>
    </row>
    <row r="278" ht="15.75" customHeight="1">
      <c r="R278" s="2"/>
      <c r="S278" s="2"/>
      <c r="T278" s="2"/>
      <c r="U278" s="2"/>
      <c r="V278" s="2"/>
      <c r="W278" s="2"/>
      <c r="X278" s="2"/>
    </row>
    <row r="279" ht="15.75" customHeight="1">
      <c r="R279" s="2"/>
      <c r="S279" s="2"/>
      <c r="T279" s="2"/>
      <c r="U279" s="2"/>
      <c r="V279" s="2"/>
      <c r="W279" s="2"/>
      <c r="X279" s="2"/>
    </row>
    <row r="280" ht="15.75" customHeight="1">
      <c r="R280" s="2"/>
      <c r="S280" s="2"/>
      <c r="T280" s="2"/>
      <c r="U280" s="2"/>
      <c r="V280" s="2"/>
      <c r="W280" s="2"/>
      <c r="X280" s="2"/>
    </row>
    <row r="281" ht="15.75" customHeight="1">
      <c r="R281" s="2"/>
      <c r="S281" s="2"/>
      <c r="T281" s="2"/>
      <c r="U281" s="2"/>
      <c r="V281" s="2"/>
      <c r="W281" s="2"/>
      <c r="X281" s="2"/>
    </row>
    <row r="282" ht="15.75" customHeight="1">
      <c r="R282" s="2"/>
      <c r="S282" s="2"/>
      <c r="T282" s="2"/>
      <c r="U282" s="2"/>
      <c r="V282" s="2"/>
      <c r="W282" s="2"/>
      <c r="X282" s="2"/>
    </row>
    <row r="283" ht="15.75" customHeight="1">
      <c r="R283" s="2"/>
      <c r="S283" s="2"/>
      <c r="T283" s="2"/>
      <c r="U283" s="2"/>
      <c r="V283" s="2"/>
      <c r="W283" s="2"/>
      <c r="X283" s="2"/>
    </row>
    <row r="284" ht="15.75" customHeight="1">
      <c r="R284" s="2"/>
      <c r="S284" s="2"/>
      <c r="T284" s="2"/>
      <c r="U284" s="2"/>
      <c r="V284" s="2"/>
      <c r="W284" s="2"/>
      <c r="X284" s="2"/>
    </row>
    <row r="285" ht="15.75" customHeight="1">
      <c r="R285" s="2"/>
      <c r="S285" s="2"/>
      <c r="T285" s="2"/>
      <c r="U285" s="2"/>
      <c r="V285" s="2"/>
      <c r="W285" s="2"/>
      <c r="X285" s="2"/>
    </row>
    <row r="286" ht="15.75" customHeight="1">
      <c r="R286" s="2"/>
      <c r="S286" s="2"/>
      <c r="T286" s="2"/>
      <c r="U286" s="2"/>
      <c r="V286" s="2"/>
      <c r="W286" s="2"/>
      <c r="X286" s="2"/>
    </row>
    <row r="287" ht="15.75" customHeight="1">
      <c r="R287" s="2"/>
      <c r="S287" s="2"/>
      <c r="T287" s="2"/>
      <c r="U287" s="2"/>
      <c r="V287" s="2"/>
      <c r="W287" s="2"/>
      <c r="X287" s="2"/>
    </row>
    <row r="288" ht="15.75" customHeight="1">
      <c r="R288" s="2"/>
      <c r="S288" s="2"/>
      <c r="T288" s="2"/>
      <c r="U288" s="2"/>
      <c r="V288" s="2"/>
      <c r="W288" s="2"/>
      <c r="X288" s="2"/>
    </row>
    <row r="289" ht="15.75" customHeight="1">
      <c r="R289" s="2"/>
      <c r="S289" s="2"/>
      <c r="T289" s="2"/>
      <c r="U289" s="2"/>
      <c r="V289" s="2"/>
      <c r="W289" s="2"/>
      <c r="X289" s="2"/>
    </row>
    <row r="290" ht="15.75" customHeight="1">
      <c r="R290" s="2"/>
      <c r="S290" s="2"/>
      <c r="T290" s="2"/>
      <c r="U290" s="2"/>
      <c r="V290" s="2"/>
      <c r="W290" s="2"/>
      <c r="X290" s="2"/>
    </row>
    <row r="291" ht="15.75" customHeight="1">
      <c r="R291" s="2"/>
      <c r="S291" s="2"/>
      <c r="T291" s="2"/>
      <c r="U291" s="2"/>
      <c r="V291" s="2"/>
      <c r="W291" s="2"/>
      <c r="X291" s="2"/>
    </row>
    <row r="292" ht="15.75" customHeight="1">
      <c r="R292" s="2"/>
      <c r="S292" s="2"/>
      <c r="T292" s="2"/>
      <c r="U292" s="2"/>
      <c r="V292" s="2"/>
      <c r="W292" s="2"/>
      <c r="X292" s="2"/>
    </row>
    <row r="293" ht="15.75" customHeight="1">
      <c r="R293" s="2"/>
      <c r="S293" s="2"/>
      <c r="T293" s="2"/>
      <c r="U293" s="2"/>
      <c r="V293" s="2"/>
      <c r="W293" s="2"/>
      <c r="X293" s="2"/>
    </row>
    <row r="294" ht="15.75" customHeight="1">
      <c r="R294" s="2"/>
      <c r="S294" s="2"/>
      <c r="T294" s="2"/>
      <c r="U294" s="2"/>
      <c r="V294" s="2"/>
      <c r="W294" s="2"/>
      <c r="X294" s="2"/>
    </row>
    <row r="295" ht="15.75" customHeight="1">
      <c r="R295" s="2"/>
      <c r="S295" s="2"/>
      <c r="T295" s="2"/>
      <c r="U295" s="2"/>
      <c r="V295" s="2"/>
      <c r="W295" s="2"/>
      <c r="X295" s="2"/>
    </row>
    <row r="296" ht="15.75" customHeight="1">
      <c r="R296" s="2"/>
      <c r="S296" s="2"/>
      <c r="T296" s="2"/>
      <c r="U296" s="2"/>
      <c r="V296" s="2"/>
      <c r="W296" s="2"/>
      <c r="X296" s="2"/>
    </row>
    <row r="297" ht="15.75" customHeight="1">
      <c r="R297" s="2"/>
      <c r="S297" s="2"/>
      <c r="T297" s="2"/>
      <c r="U297" s="2"/>
      <c r="V297" s="2"/>
      <c r="W297" s="2"/>
      <c r="X297" s="2"/>
    </row>
    <row r="298" ht="15.75" customHeight="1">
      <c r="R298" s="2"/>
      <c r="S298" s="2"/>
      <c r="T298" s="2"/>
      <c r="U298" s="2"/>
      <c r="V298" s="2"/>
      <c r="W298" s="2"/>
      <c r="X298" s="2"/>
    </row>
    <row r="299" ht="15.75" customHeight="1">
      <c r="R299" s="2"/>
      <c r="S299" s="2"/>
      <c r="T299" s="2"/>
      <c r="U299" s="2"/>
      <c r="V299" s="2"/>
      <c r="W299" s="2"/>
      <c r="X299" s="2"/>
    </row>
    <row r="300" ht="15.75" customHeight="1">
      <c r="R300" s="2"/>
      <c r="S300" s="2"/>
      <c r="T300" s="2"/>
      <c r="U300" s="2"/>
      <c r="V300" s="2"/>
      <c r="W300" s="2"/>
      <c r="X300" s="2"/>
    </row>
    <row r="301" ht="15.75" customHeight="1">
      <c r="R301" s="2"/>
      <c r="S301" s="2"/>
      <c r="T301" s="2"/>
      <c r="U301" s="2"/>
      <c r="V301" s="2"/>
      <c r="W301" s="2"/>
      <c r="X301" s="2"/>
    </row>
    <row r="302" ht="15.75" customHeight="1">
      <c r="R302" s="2"/>
      <c r="S302" s="2"/>
      <c r="T302" s="2"/>
      <c r="U302" s="2"/>
      <c r="V302" s="2"/>
      <c r="W302" s="2"/>
      <c r="X302" s="2"/>
    </row>
    <row r="303" ht="15.75" customHeight="1">
      <c r="R303" s="2"/>
      <c r="S303" s="2"/>
      <c r="T303" s="2"/>
      <c r="U303" s="2"/>
      <c r="V303" s="2"/>
      <c r="W303" s="2"/>
      <c r="X303" s="2"/>
    </row>
    <row r="304" ht="15.75" customHeight="1">
      <c r="R304" s="2"/>
      <c r="S304" s="2"/>
      <c r="T304" s="2"/>
      <c r="U304" s="2"/>
      <c r="V304" s="2"/>
      <c r="W304" s="2"/>
      <c r="X304" s="2"/>
    </row>
    <row r="305" ht="15.75" customHeight="1">
      <c r="R305" s="2"/>
      <c r="S305" s="2"/>
      <c r="T305" s="2"/>
      <c r="U305" s="2"/>
      <c r="V305" s="2"/>
      <c r="W305" s="2"/>
      <c r="X305" s="2"/>
    </row>
    <row r="306" ht="15.75" customHeight="1">
      <c r="R306" s="2"/>
      <c r="S306" s="2"/>
      <c r="T306" s="2"/>
      <c r="U306" s="2"/>
      <c r="V306" s="2"/>
      <c r="W306" s="2"/>
      <c r="X306" s="2"/>
    </row>
    <row r="307" ht="15.75" customHeight="1">
      <c r="R307" s="2"/>
      <c r="S307" s="2"/>
      <c r="T307" s="2"/>
      <c r="U307" s="2"/>
      <c r="V307" s="2"/>
      <c r="W307" s="2"/>
      <c r="X307" s="2"/>
    </row>
    <row r="308" ht="15.75" customHeight="1">
      <c r="R308" s="2"/>
      <c r="S308" s="2"/>
      <c r="T308" s="2"/>
      <c r="U308" s="2"/>
      <c r="V308" s="2"/>
      <c r="W308" s="2"/>
      <c r="X308" s="2"/>
    </row>
    <row r="309" ht="15.75" customHeight="1">
      <c r="R309" s="2"/>
      <c r="S309" s="2"/>
      <c r="T309" s="2"/>
      <c r="U309" s="2"/>
      <c r="V309" s="2"/>
      <c r="W309" s="2"/>
      <c r="X309" s="2"/>
    </row>
    <row r="310" ht="15.75" customHeight="1">
      <c r="R310" s="2"/>
      <c r="S310" s="2"/>
      <c r="T310" s="2"/>
      <c r="U310" s="2"/>
      <c r="V310" s="2"/>
      <c r="W310" s="2"/>
      <c r="X310" s="2"/>
    </row>
    <row r="311" ht="15.75" customHeight="1">
      <c r="R311" s="2"/>
      <c r="S311" s="2"/>
      <c r="T311" s="2"/>
      <c r="U311" s="2"/>
      <c r="V311" s="2"/>
      <c r="W311" s="2"/>
      <c r="X311" s="2"/>
    </row>
    <row r="312" ht="15.75" customHeight="1">
      <c r="R312" s="2"/>
      <c r="S312" s="2"/>
      <c r="T312" s="2"/>
      <c r="U312" s="2"/>
      <c r="V312" s="2"/>
      <c r="W312" s="2"/>
      <c r="X312" s="2"/>
    </row>
    <row r="313" ht="15.75" customHeight="1">
      <c r="R313" s="2"/>
      <c r="S313" s="2"/>
      <c r="T313" s="2"/>
      <c r="U313" s="2"/>
      <c r="V313" s="2"/>
      <c r="W313" s="2"/>
      <c r="X313" s="2"/>
    </row>
    <row r="314" ht="15.75" customHeight="1">
      <c r="R314" s="2"/>
      <c r="S314" s="2"/>
      <c r="T314" s="2"/>
      <c r="U314" s="2"/>
      <c r="V314" s="2"/>
      <c r="W314" s="2"/>
      <c r="X314" s="2"/>
    </row>
    <row r="315" ht="15.75" customHeight="1">
      <c r="R315" s="2"/>
      <c r="S315" s="2"/>
      <c r="T315" s="2"/>
      <c r="U315" s="2"/>
      <c r="V315" s="2"/>
      <c r="W315" s="2"/>
      <c r="X315" s="2"/>
    </row>
    <row r="316" ht="15.75" customHeight="1">
      <c r="R316" s="2"/>
      <c r="S316" s="2"/>
      <c r="T316" s="2"/>
      <c r="U316" s="2"/>
      <c r="V316" s="2"/>
      <c r="W316" s="2"/>
      <c r="X316" s="2"/>
    </row>
    <row r="317" ht="15.75" customHeight="1">
      <c r="R317" s="2"/>
      <c r="S317" s="2"/>
      <c r="T317" s="2"/>
      <c r="U317" s="2"/>
      <c r="V317" s="2"/>
      <c r="W317" s="2"/>
      <c r="X317" s="2"/>
    </row>
    <row r="318" ht="15.75" customHeight="1">
      <c r="R318" s="2"/>
      <c r="S318" s="2"/>
      <c r="T318" s="2"/>
      <c r="U318" s="2"/>
      <c r="V318" s="2"/>
      <c r="W318" s="2"/>
      <c r="X318" s="2"/>
    </row>
    <row r="319" ht="15.75" customHeight="1">
      <c r="R319" s="2"/>
      <c r="S319" s="2"/>
      <c r="T319" s="2"/>
      <c r="U319" s="2"/>
      <c r="V319" s="2"/>
      <c r="W319" s="2"/>
      <c r="X319" s="2"/>
    </row>
    <row r="320" ht="15.75" customHeight="1">
      <c r="R320" s="2"/>
      <c r="S320" s="2"/>
      <c r="T320" s="2"/>
      <c r="U320" s="2"/>
      <c r="V320" s="2"/>
      <c r="W320" s="2"/>
      <c r="X320" s="2"/>
    </row>
    <row r="321" ht="15.75" customHeight="1">
      <c r="R321" s="2"/>
      <c r="S321" s="2"/>
      <c r="T321" s="2"/>
      <c r="U321" s="2"/>
      <c r="V321" s="2"/>
      <c r="W321" s="2"/>
      <c r="X321" s="2"/>
    </row>
    <row r="322" ht="15.75" customHeight="1">
      <c r="R322" s="2"/>
      <c r="S322" s="2"/>
      <c r="T322" s="2"/>
      <c r="U322" s="2"/>
      <c r="V322" s="2"/>
      <c r="W322" s="2"/>
      <c r="X322" s="2"/>
    </row>
    <row r="323" ht="15.75" customHeight="1">
      <c r="R323" s="2"/>
      <c r="S323" s="2"/>
      <c r="T323" s="2"/>
      <c r="U323" s="2"/>
      <c r="V323" s="2"/>
      <c r="W323" s="2"/>
      <c r="X323" s="2"/>
    </row>
    <row r="324" ht="15.75" customHeight="1">
      <c r="R324" s="2"/>
      <c r="S324" s="2"/>
      <c r="T324" s="2"/>
      <c r="U324" s="2"/>
      <c r="V324" s="2"/>
      <c r="W324" s="2"/>
      <c r="X324" s="2"/>
    </row>
    <row r="325" ht="15.75" customHeight="1">
      <c r="R325" s="2"/>
      <c r="S325" s="2"/>
      <c r="T325" s="2"/>
      <c r="U325" s="2"/>
      <c r="V325" s="2"/>
      <c r="W325" s="2"/>
      <c r="X325" s="2"/>
    </row>
    <row r="326" ht="15.75" customHeight="1">
      <c r="R326" s="2"/>
      <c r="S326" s="2"/>
      <c r="T326" s="2"/>
      <c r="U326" s="2"/>
      <c r="V326" s="2"/>
      <c r="W326" s="2"/>
      <c r="X326" s="2"/>
    </row>
    <row r="327" ht="15.75" customHeight="1">
      <c r="R327" s="2"/>
      <c r="S327" s="2"/>
      <c r="T327" s="2"/>
      <c r="U327" s="2"/>
      <c r="V327" s="2"/>
      <c r="W327" s="2"/>
      <c r="X327" s="2"/>
    </row>
    <row r="328" ht="15.75" customHeight="1">
      <c r="R328" s="2"/>
      <c r="S328" s="2"/>
      <c r="T328" s="2"/>
      <c r="U328" s="2"/>
      <c r="V328" s="2"/>
      <c r="W328" s="2"/>
      <c r="X328" s="2"/>
    </row>
    <row r="329" ht="15.75" customHeight="1">
      <c r="R329" s="2"/>
      <c r="S329" s="2"/>
      <c r="T329" s="2"/>
      <c r="U329" s="2"/>
      <c r="V329" s="2"/>
      <c r="W329" s="2"/>
      <c r="X329" s="2"/>
    </row>
    <row r="330" ht="15.75" customHeight="1">
      <c r="R330" s="2"/>
      <c r="S330" s="2"/>
      <c r="T330" s="2"/>
      <c r="U330" s="2"/>
      <c r="V330" s="2"/>
      <c r="W330" s="2"/>
      <c r="X330" s="2"/>
    </row>
    <row r="331" ht="15.75" customHeight="1">
      <c r="R331" s="2"/>
      <c r="S331" s="2"/>
      <c r="T331" s="2"/>
      <c r="U331" s="2"/>
      <c r="V331" s="2"/>
      <c r="W331" s="2"/>
      <c r="X331" s="2"/>
    </row>
    <row r="332" ht="15.75" customHeight="1">
      <c r="R332" s="2"/>
      <c r="S332" s="2"/>
      <c r="T332" s="2"/>
      <c r="U332" s="2"/>
      <c r="V332" s="2"/>
      <c r="W332" s="2"/>
      <c r="X332" s="2"/>
    </row>
    <row r="333" ht="15.75" customHeight="1">
      <c r="R333" s="2"/>
      <c r="S333" s="2"/>
      <c r="T333" s="2"/>
      <c r="U333" s="2"/>
      <c r="V333" s="2"/>
      <c r="W333" s="2"/>
      <c r="X333" s="2"/>
    </row>
    <row r="334" ht="15.75" customHeight="1">
      <c r="R334" s="2"/>
      <c r="S334" s="2"/>
      <c r="T334" s="2"/>
      <c r="U334" s="2"/>
      <c r="V334" s="2"/>
      <c r="W334" s="2"/>
      <c r="X334" s="2"/>
    </row>
    <row r="335" ht="15.75" customHeight="1">
      <c r="R335" s="2"/>
      <c r="S335" s="2"/>
      <c r="T335" s="2"/>
      <c r="U335" s="2"/>
      <c r="V335" s="2"/>
      <c r="W335" s="2"/>
      <c r="X335" s="2"/>
    </row>
    <row r="336" ht="15.75" customHeight="1">
      <c r="R336" s="2"/>
      <c r="S336" s="2"/>
      <c r="T336" s="2"/>
      <c r="U336" s="2"/>
      <c r="V336" s="2"/>
      <c r="W336" s="2"/>
      <c r="X336" s="2"/>
    </row>
    <row r="337" ht="15.75" customHeight="1">
      <c r="R337" s="2"/>
      <c r="S337" s="2"/>
      <c r="T337" s="2"/>
      <c r="U337" s="2"/>
      <c r="V337" s="2"/>
      <c r="W337" s="2"/>
      <c r="X337" s="2"/>
    </row>
    <row r="338" ht="15.75" customHeight="1">
      <c r="R338" s="2"/>
      <c r="S338" s="2"/>
      <c r="T338" s="2"/>
      <c r="U338" s="2"/>
      <c r="V338" s="2"/>
      <c r="W338" s="2"/>
      <c r="X338" s="2"/>
    </row>
    <row r="339" ht="15.75" customHeight="1">
      <c r="R339" s="2"/>
      <c r="S339" s="2"/>
      <c r="T339" s="2"/>
      <c r="U339" s="2"/>
      <c r="V339" s="2"/>
      <c r="W339" s="2"/>
      <c r="X339" s="2"/>
    </row>
    <row r="340" ht="15.75" customHeight="1">
      <c r="R340" s="2"/>
      <c r="S340" s="2"/>
      <c r="T340" s="2"/>
      <c r="U340" s="2"/>
      <c r="V340" s="2"/>
      <c r="W340" s="2"/>
      <c r="X340" s="2"/>
    </row>
    <row r="341" ht="15.75" customHeight="1">
      <c r="R341" s="2"/>
      <c r="S341" s="2"/>
      <c r="T341" s="2"/>
      <c r="U341" s="2"/>
      <c r="V341" s="2"/>
      <c r="W341" s="2"/>
      <c r="X341" s="2"/>
    </row>
    <row r="342" ht="15.75" customHeight="1">
      <c r="R342" s="2"/>
      <c r="S342" s="2"/>
      <c r="T342" s="2"/>
      <c r="U342" s="2"/>
      <c r="V342" s="2"/>
      <c r="W342" s="2"/>
      <c r="X342" s="2"/>
    </row>
    <row r="343" ht="15.75" customHeight="1">
      <c r="R343" s="2"/>
      <c r="S343" s="2"/>
      <c r="T343" s="2"/>
      <c r="U343" s="2"/>
      <c r="V343" s="2"/>
      <c r="W343" s="2"/>
      <c r="X343" s="2"/>
    </row>
    <row r="344" ht="15.75" customHeight="1">
      <c r="R344" s="2"/>
      <c r="S344" s="2"/>
      <c r="T344" s="2"/>
      <c r="U344" s="2"/>
      <c r="V344" s="2"/>
      <c r="W344" s="2"/>
      <c r="X344" s="2"/>
    </row>
    <row r="345" ht="15.75" customHeight="1">
      <c r="R345" s="2"/>
      <c r="S345" s="2"/>
      <c r="T345" s="2"/>
      <c r="U345" s="2"/>
      <c r="V345" s="2"/>
      <c r="W345" s="2"/>
      <c r="X345" s="2"/>
    </row>
    <row r="346" ht="15.75" customHeight="1">
      <c r="R346" s="2"/>
      <c r="S346" s="2"/>
      <c r="T346" s="2"/>
      <c r="U346" s="2"/>
      <c r="V346" s="2"/>
      <c r="W346" s="2"/>
      <c r="X346" s="2"/>
    </row>
    <row r="347" ht="15.75" customHeight="1">
      <c r="R347" s="2"/>
      <c r="S347" s="2"/>
      <c r="T347" s="2"/>
      <c r="U347" s="2"/>
      <c r="V347" s="2"/>
      <c r="W347" s="2"/>
      <c r="X347" s="2"/>
    </row>
    <row r="348" ht="15.75" customHeight="1">
      <c r="R348" s="2"/>
      <c r="S348" s="2"/>
      <c r="T348" s="2"/>
      <c r="U348" s="2"/>
      <c r="V348" s="2"/>
      <c r="W348" s="2"/>
      <c r="X348" s="2"/>
    </row>
    <row r="349" ht="15.75" customHeight="1">
      <c r="R349" s="2"/>
      <c r="S349" s="2"/>
      <c r="T349" s="2"/>
      <c r="U349" s="2"/>
      <c r="V349" s="2"/>
      <c r="W349" s="2"/>
      <c r="X349" s="2"/>
    </row>
    <row r="350" ht="15.75" customHeight="1">
      <c r="R350" s="2"/>
      <c r="S350" s="2"/>
      <c r="T350" s="2"/>
      <c r="U350" s="2"/>
      <c r="V350" s="2"/>
      <c r="W350" s="2"/>
      <c r="X350" s="2"/>
    </row>
    <row r="351" ht="15.75" customHeight="1">
      <c r="R351" s="2"/>
      <c r="S351" s="2"/>
      <c r="T351" s="2"/>
      <c r="U351" s="2"/>
      <c r="V351" s="2"/>
      <c r="W351" s="2"/>
      <c r="X351" s="2"/>
    </row>
    <row r="352" ht="15.75" customHeight="1">
      <c r="R352" s="2"/>
      <c r="S352" s="2"/>
      <c r="T352" s="2"/>
      <c r="U352" s="2"/>
      <c r="V352" s="2"/>
      <c r="W352" s="2"/>
      <c r="X352" s="2"/>
    </row>
    <row r="353" ht="15.75" customHeight="1">
      <c r="R353" s="2"/>
      <c r="S353" s="2"/>
      <c r="T353" s="2"/>
      <c r="U353" s="2"/>
      <c r="V353" s="2"/>
      <c r="W353" s="2"/>
      <c r="X353" s="2"/>
    </row>
    <row r="354" ht="15.75" customHeight="1">
      <c r="R354" s="2"/>
      <c r="S354" s="2"/>
      <c r="T354" s="2"/>
      <c r="U354" s="2"/>
      <c r="V354" s="2"/>
      <c r="W354" s="2"/>
      <c r="X354" s="2"/>
    </row>
    <row r="355" ht="15.75" customHeight="1">
      <c r="R355" s="2"/>
      <c r="S355" s="2"/>
      <c r="T355" s="2"/>
      <c r="U355" s="2"/>
      <c r="V355" s="2"/>
      <c r="W355" s="2"/>
      <c r="X355" s="2"/>
    </row>
    <row r="356" ht="15.75" customHeight="1">
      <c r="R356" s="2"/>
      <c r="S356" s="2"/>
      <c r="T356" s="2"/>
      <c r="U356" s="2"/>
      <c r="V356" s="2"/>
      <c r="W356" s="2"/>
      <c r="X356" s="2"/>
    </row>
    <row r="357" ht="15.75" customHeight="1">
      <c r="R357" s="2"/>
      <c r="S357" s="2"/>
      <c r="T357" s="2"/>
      <c r="U357" s="2"/>
      <c r="V357" s="2"/>
      <c r="W357" s="2"/>
      <c r="X357" s="2"/>
    </row>
    <row r="358" ht="15.75" customHeight="1">
      <c r="R358" s="2"/>
      <c r="S358" s="2"/>
      <c r="T358" s="2"/>
      <c r="U358" s="2"/>
      <c r="V358" s="2"/>
      <c r="W358" s="2"/>
      <c r="X358" s="2"/>
    </row>
    <row r="359" ht="15.75" customHeight="1">
      <c r="R359" s="2"/>
      <c r="S359" s="2"/>
      <c r="T359" s="2"/>
      <c r="U359" s="2"/>
      <c r="V359" s="2"/>
      <c r="W359" s="2"/>
      <c r="X359" s="2"/>
    </row>
    <row r="360" ht="15.75" customHeight="1">
      <c r="R360" s="2"/>
      <c r="S360" s="2"/>
      <c r="T360" s="2"/>
      <c r="U360" s="2"/>
      <c r="V360" s="2"/>
      <c r="W360" s="2"/>
      <c r="X360" s="2"/>
    </row>
    <row r="361" ht="15.75" customHeight="1">
      <c r="R361" s="2"/>
      <c r="S361" s="2"/>
      <c r="T361" s="2"/>
      <c r="U361" s="2"/>
      <c r="V361" s="2"/>
      <c r="W361" s="2"/>
      <c r="X361" s="2"/>
    </row>
    <row r="362" ht="15.75" customHeight="1">
      <c r="R362" s="2"/>
      <c r="S362" s="2"/>
      <c r="T362" s="2"/>
      <c r="U362" s="2"/>
      <c r="V362" s="2"/>
      <c r="W362" s="2"/>
      <c r="X362" s="2"/>
    </row>
    <row r="363" ht="15.75" customHeight="1">
      <c r="R363" s="2"/>
      <c r="S363" s="2"/>
      <c r="T363" s="2"/>
      <c r="U363" s="2"/>
      <c r="V363" s="2"/>
      <c r="W363" s="2"/>
      <c r="X363" s="2"/>
    </row>
    <row r="364" ht="15.75" customHeight="1">
      <c r="R364" s="2"/>
      <c r="S364" s="2"/>
      <c r="T364" s="2"/>
      <c r="U364" s="2"/>
      <c r="V364" s="2"/>
      <c r="W364" s="2"/>
      <c r="X364" s="2"/>
    </row>
    <row r="365" ht="15.75" customHeight="1">
      <c r="R365" s="2"/>
      <c r="S365" s="2"/>
      <c r="T365" s="2"/>
      <c r="U365" s="2"/>
      <c r="V365" s="2"/>
      <c r="W365" s="2"/>
      <c r="X365" s="2"/>
    </row>
    <row r="366" ht="15.75" customHeight="1">
      <c r="R366" s="2"/>
      <c r="S366" s="2"/>
      <c r="T366" s="2"/>
      <c r="U366" s="2"/>
      <c r="V366" s="2"/>
      <c r="W366" s="2"/>
      <c r="X366" s="2"/>
    </row>
    <row r="367" ht="15.75" customHeight="1">
      <c r="R367" s="2"/>
      <c r="S367" s="2"/>
      <c r="T367" s="2"/>
      <c r="U367" s="2"/>
      <c r="V367" s="2"/>
      <c r="W367" s="2"/>
      <c r="X367" s="2"/>
    </row>
    <row r="368" ht="15.75" customHeight="1">
      <c r="R368" s="2"/>
      <c r="S368" s="2"/>
      <c r="T368" s="2"/>
      <c r="U368" s="2"/>
      <c r="V368" s="2"/>
      <c r="W368" s="2"/>
      <c r="X368" s="2"/>
    </row>
    <row r="369" ht="15.75" customHeight="1">
      <c r="R369" s="2"/>
      <c r="S369" s="2"/>
      <c r="T369" s="2"/>
      <c r="U369" s="2"/>
      <c r="V369" s="2"/>
      <c r="W369" s="2"/>
      <c r="X369" s="2"/>
    </row>
    <row r="370" ht="15.75" customHeight="1">
      <c r="R370" s="2"/>
      <c r="S370" s="2"/>
      <c r="T370" s="2"/>
      <c r="U370" s="2"/>
      <c r="V370" s="2"/>
      <c r="W370" s="2"/>
      <c r="X370" s="2"/>
    </row>
    <row r="371" ht="15.75" customHeight="1">
      <c r="R371" s="2"/>
      <c r="S371" s="2"/>
      <c r="T371" s="2"/>
      <c r="U371" s="2"/>
      <c r="V371" s="2"/>
      <c r="W371" s="2"/>
      <c r="X371" s="2"/>
    </row>
    <row r="372" ht="15.75" customHeight="1">
      <c r="R372" s="2"/>
      <c r="S372" s="2"/>
      <c r="T372" s="2"/>
      <c r="U372" s="2"/>
      <c r="V372" s="2"/>
      <c r="W372" s="2"/>
      <c r="X372" s="2"/>
    </row>
    <row r="373" ht="15.75" customHeight="1">
      <c r="R373" s="2"/>
      <c r="S373" s="2"/>
      <c r="T373" s="2"/>
      <c r="U373" s="2"/>
      <c r="V373" s="2"/>
      <c r="W373" s="2"/>
      <c r="X373" s="2"/>
    </row>
    <row r="374" ht="15.75" customHeight="1">
      <c r="R374" s="2"/>
      <c r="S374" s="2"/>
      <c r="T374" s="2"/>
      <c r="U374" s="2"/>
      <c r="V374" s="2"/>
      <c r="W374" s="2"/>
      <c r="X374" s="2"/>
    </row>
    <row r="375" ht="15.75" customHeight="1">
      <c r="R375" s="2"/>
      <c r="S375" s="2"/>
      <c r="T375" s="2"/>
      <c r="U375" s="2"/>
      <c r="V375" s="2"/>
      <c r="W375" s="2"/>
      <c r="X375" s="2"/>
    </row>
    <row r="376" ht="15.75" customHeight="1">
      <c r="R376" s="2"/>
      <c r="S376" s="2"/>
      <c r="T376" s="2"/>
      <c r="U376" s="2"/>
      <c r="V376" s="2"/>
      <c r="W376" s="2"/>
      <c r="X376" s="2"/>
    </row>
    <row r="377" ht="15.75" customHeight="1">
      <c r="R377" s="2"/>
      <c r="S377" s="2"/>
      <c r="T377" s="2"/>
      <c r="U377" s="2"/>
      <c r="V377" s="2"/>
      <c r="W377" s="2"/>
      <c r="X377" s="2"/>
    </row>
    <row r="378" ht="15.75" customHeight="1">
      <c r="R378" s="2"/>
      <c r="S378" s="2"/>
      <c r="T378" s="2"/>
      <c r="U378" s="2"/>
      <c r="V378" s="2"/>
      <c r="W378" s="2"/>
      <c r="X378" s="2"/>
    </row>
    <row r="379" ht="15.75" customHeight="1">
      <c r="R379" s="2"/>
      <c r="S379" s="2"/>
      <c r="T379" s="2"/>
      <c r="U379" s="2"/>
      <c r="V379" s="2"/>
      <c r="W379" s="2"/>
      <c r="X379" s="2"/>
    </row>
    <row r="380" ht="15.75" customHeight="1">
      <c r="R380" s="2"/>
      <c r="S380" s="2"/>
      <c r="T380" s="2"/>
      <c r="U380" s="2"/>
      <c r="V380" s="2"/>
      <c r="W380" s="2"/>
      <c r="X380" s="2"/>
    </row>
    <row r="381" ht="15.75" customHeight="1">
      <c r="R381" s="2"/>
      <c r="S381" s="2"/>
      <c r="T381" s="2"/>
      <c r="U381" s="2"/>
      <c r="V381" s="2"/>
      <c r="W381" s="2"/>
      <c r="X381" s="2"/>
    </row>
    <row r="382" ht="15.75" customHeight="1">
      <c r="R382" s="2"/>
      <c r="S382" s="2"/>
      <c r="T382" s="2"/>
      <c r="U382" s="2"/>
      <c r="V382" s="2"/>
      <c r="W382" s="2"/>
      <c r="X382" s="2"/>
    </row>
    <row r="383" ht="15.75" customHeight="1">
      <c r="R383" s="2"/>
      <c r="S383" s="2"/>
      <c r="T383" s="2"/>
      <c r="U383" s="2"/>
      <c r="V383" s="2"/>
      <c r="W383" s="2"/>
      <c r="X383" s="2"/>
    </row>
    <row r="384" ht="15.75" customHeight="1">
      <c r="R384" s="2"/>
      <c r="S384" s="2"/>
      <c r="T384" s="2"/>
      <c r="U384" s="2"/>
      <c r="V384" s="2"/>
      <c r="W384" s="2"/>
      <c r="X384" s="2"/>
    </row>
    <row r="385" ht="15.75" customHeight="1">
      <c r="R385" s="2"/>
      <c r="S385" s="2"/>
      <c r="T385" s="2"/>
      <c r="U385" s="2"/>
      <c r="V385" s="2"/>
      <c r="W385" s="2"/>
      <c r="X385" s="2"/>
    </row>
    <row r="386" ht="15.75" customHeight="1">
      <c r="R386" s="2"/>
      <c r="S386" s="2"/>
      <c r="T386" s="2"/>
      <c r="U386" s="2"/>
      <c r="V386" s="2"/>
      <c r="W386" s="2"/>
      <c r="X386" s="2"/>
    </row>
    <row r="387" ht="15.75" customHeight="1">
      <c r="R387" s="2"/>
      <c r="S387" s="2"/>
      <c r="T387" s="2"/>
      <c r="U387" s="2"/>
      <c r="V387" s="2"/>
      <c r="W387" s="2"/>
      <c r="X387" s="2"/>
    </row>
    <row r="388" ht="15.75" customHeight="1">
      <c r="R388" s="2"/>
      <c r="S388" s="2"/>
      <c r="T388" s="2"/>
      <c r="U388" s="2"/>
      <c r="V388" s="2"/>
      <c r="W388" s="2"/>
      <c r="X388" s="2"/>
    </row>
    <row r="389" ht="15.75" customHeight="1">
      <c r="R389" s="2"/>
      <c r="S389" s="2"/>
      <c r="T389" s="2"/>
      <c r="U389" s="2"/>
      <c r="V389" s="2"/>
      <c r="W389" s="2"/>
      <c r="X389" s="2"/>
    </row>
    <row r="390" ht="15.75" customHeight="1">
      <c r="R390" s="2"/>
      <c r="S390" s="2"/>
      <c r="T390" s="2"/>
      <c r="U390" s="2"/>
      <c r="V390" s="2"/>
      <c r="W390" s="2"/>
      <c r="X390" s="2"/>
    </row>
    <row r="391" ht="15.75" customHeight="1">
      <c r="R391" s="2"/>
      <c r="S391" s="2"/>
      <c r="T391" s="2"/>
      <c r="U391" s="2"/>
      <c r="V391" s="2"/>
      <c r="W391" s="2"/>
      <c r="X391" s="2"/>
    </row>
    <row r="392" ht="15.75" customHeight="1">
      <c r="R392" s="2"/>
      <c r="S392" s="2"/>
      <c r="T392" s="2"/>
      <c r="U392" s="2"/>
      <c r="V392" s="2"/>
      <c r="W392" s="2"/>
      <c r="X392" s="2"/>
    </row>
    <row r="393" ht="15.75" customHeight="1">
      <c r="R393" s="2"/>
      <c r="S393" s="2"/>
      <c r="T393" s="2"/>
      <c r="U393" s="2"/>
      <c r="V393" s="2"/>
      <c r="W393" s="2"/>
      <c r="X393" s="2"/>
    </row>
    <row r="394" ht="15.75" customHeight="1">
      <c r="R394" s="2"/>
      <c r="S394" s="2"/>
      <c r="T394" s="2"/>
      <c r="U394" s="2"/>
      <c r="V394" s="2"/>
      <c r="W394" s="2"/>
      <c r="X394" s="2"/>
    </row>
    <row r="395" ht="15.75" customHeight="1">
      <c r="R395" s="2"/>
      <c r="S395" s="2"/>
      <c r="T395" s="2"/>
      <c r="U395" s="2"/>
      <c r="V395" s="2"/>
      <c r="W395" s="2"/>
      <c r="X395" s="2"/>
    </row>
    <row r="396" ht="15.75" customHeight="1">
      <c r="R396" s="2"/>
      <c r="S396" s="2"/>
      <c r="T396" s="2"/>
      <c r="U396" s="2"/>
      <c r="V396" s="2"/>
      <c r="W396" s="2"/>
      <c r="X396" s="2"/>
    </row>
    <row r="397" ht="15.75" customHeight="1">
      <c r="R397" s="2"/>
      <c r="S397" s="2"/>
      <c r="T397" s="2"/>
      <c r="U397" s="2"/>
      <c r="V397" s="2"/>
      <c r="W397" s="2"/>
      <c r="X397" s="2"/>
    </row>
    <row r="398" ht="15.75" customHeight="1">
      <c r="R398" s="2"/>
      <c r="S398" s="2"/>
      <c r="T398" s="2"/>
      <c r="U398" s="2"/>
      <c r="V398" s="2"/>
      <c r="W398" s="2"/>
      <c r="X398" s="2"/>
    </row>
    <row r="399" ht="15.75" customHeight="1">
      <c r="R399" s="2"/>
      <c r="S399" s="2"/>
      <c r="T399" s="2"/>
      <c r="U399" s="2"/>
      <c r="V399" s="2"/>
      <c r="W399" s="2"/>
      <c r="X399" s="2"/>
    </row>
    <row r="400" ht="15.75" customHeight="1">
      <c r="R400" s="2"/>
      <c r="S400" s="2"/>
      <c r="T400" s="2"/>
      <c r="U400" s="2"/>
      <c r="V400" s="2"/>
      <c r="W400" s="2"/>
      <c r="X400" s="2"/>
    </row>
    <row r="401" ht="15.75" customHeight="1">
      <c r="R401" s="2"/>
      <c r="S401" s="2"/>
      <c r="T401" s="2"/>
      <c r="U401" s="2"/>
      <c r="V401" s="2"/>
      <c r="W401" s="2"/>
      <c r="X401" s="2"/>
    </row>
    <row r="402" ht="15.75" customHeight="1">
      <c r="R402" s="2"/>
      <c r="S402" s="2"/>
      <c r="T402" s="2"/>
      <c r="U402" s="2"/>
      <c r="V402" s="2"/>
      <c r="W402" s="2"/>
      <c r="X402" s="2"/>
    </row>
    <row r="403" ht="15.75" customHeight="1">
      <c r="R403" s="2"/>
      <c r="S403" s="2"/>
      <c r="T403" s="2"/>
      <c r="U403" s="2"/>
      <c r="V403" s="2"/>
      <c r="W403" s="2"/>
      <c r="X403" s="2"/>
    </row>
    <row r="404" ht="15.75" customHeight="1">
      <c r="R404" s="2"/>
      <c r="S404" s="2"/>
      <c r="T404" s="2"/>
      <c r="U404" s="2"/>
      <c r="V404" s="2"/>
      <c r="W404" s="2"/>
      <c r="X404" s="2"/>
    </row>
    <row r="405" ht="15.75" customHeight="1">
      <c r="R405" s="2"/>
      <c r="S405" s="2"/>
      <c r="T405" s="2"/>
      <c r="U405" s="2"/>
      <c r="V405" s="2"/>
      <c r="W405" s="2"/>
      <c r="X405" s="2"/>
    </row>
    <row r="406" ht="15.75" customHeight="1">
      <c r="R406" s="2"/>
      <c r="S406" s="2"/>
      <c r="T406" s="2"/>
      <c r="U406" s="2"/>
      <c r="V406" s="2"/>
      <c r="W406" s="2"/>
      <c r="X406" s="2"/>
    </row>
    <row r="407" ht="15.75" customHeight="1">
      <c r="R407" s="2"/>
      <c r="S407" s="2"/>
      <c r="T407" s="2"/>
      <c r="U407" s="2"/>
      <c r="V407" s="2"/>
      <c r="W407" s="2"/>
      <c r="X407" s="2"/>
    </row>
    <row r="408" ht="15.75" customHeight="1">
      <c r="R408" s="2"/>
      <c r="S408" s="2"/>
      <c r="T408" s="2"/>
      <c r="U408" s="2"/>
      <c r="V408" s="2"/>
      <c r="W408" s="2"/>
      <c r="X408" s="2"/>
    </row>
    <row r="409" ht="15.75" customHeight="1">
      <c r="R409" s="2"/>
      <c r="S409" s="2"/>
      <c r="T409" s="2"/>
      <c r="U409" s="2"/>
      <c r="V409" s="2"/>
      <c r="W409" s="2"/>
      <c r="X409" s="2"/>
    </row>
    <row r="410" ht="15.75" customHeight="1">
      <c r="R410" s="2"/>
      <c r="S410" s="2"/>
      <c r="T410" s="2"/>
      <c r="U410" s="2"/>
      <c r="V410" s="2"/>
      <c r="W410" s="2"/>
      <c r="X410" s="2"/>
    </row>
    <row r="411" ht="15.75" customHeight="1">
      <c r="R411" s="2"/>
      <c r="S411" s="2"/>
      <c r="T411" s="2"/>
      <c r="U411" s="2"/>
      <c r="V411" s="2"/>
      <c r="W411" s="2"/>
      <c r="X411" s="2"/>
    </row>
    <row r="412" ht="15.75" customHeight="1">
      <c r="R412" s="2"/>
      <c r="S412" s="2"/>
      <c r="T412" s="2"/>
      <c r="U412" s="2"/>
      <c r="V412" s="2"/>
      <c r="W412" s="2"/>
      <c r="X412" s="2"/>
    </row>
    <row r="413" ht="15.75" customHeight="1">
      <c r="R413" s="2"/>
      <c r="S413" s="2"/>
      <c r="T413" s="2"/>
      <c r="U413" s="2"/>
      <c r="V413" s="2"/>
      <c r="W413" s="2"/>
      <c r="X413" s="2"/>
    </row>
    <row r="414" ht="15.75" customHeight="1">
      <c r="R414" s="2"/>
      <c r="S414" s="2"/>
      <c r="T414" s="2"/>
      <c r="U414" s="2"/>
      <c r="V414" s="2"/>
      <c r="W414" s="2"/>
      <c r="X414" s="2"/>
    </row>
    <row r="415" ht="15.75" customHeight="1">
      <c r="R415" s="2"/>
      <c r="S415" s="2"/>
      <c r="T415" s="2"/>
      <c r="U415" s="2"/>
      <c r="V415" s="2"/>
      <c r="W415" s="2"/>
      <c r="X415" s="2"/>
    </row>
    <row r="416" ht="15.75" customHeight="1">
      <c r="R416" s="2"/>
      <c r="S416" s="2"/>
      <c r="T416" s="2"/>
      <c r="U416" s="2"/>
      <c r="V416" s="2"/>
      <c r="W416" s="2"/>
      <c r="X416" s="2"/>
    </row>
    <row r="417" ht="15.75" customHeight="1">
      <c r="R417" s="2"/>
      <c r="S417" s="2"/>
      <c r="T417" s="2"/>
      <c r="U417" s="2"/>
      <c r="V417" s="2"/>
      <c r="W417" s="2"/>
      <c r="X417" s="2"/>
    </row>
    <row r="418" ht="15.75" customHeight="1">
      <c r="R418" s="2"/>
      <c r="S418" s="2"/>
      <c r="T418" s="2"/>
      <c r="U418" s="2"/>
      <c r="V418" s="2"/>
      <c r="W418" s="2"/>
      <c r="X418" s="2"/>
    </row>
    <row r="419" ht="15.75" customHeight="1">
      <c r="R419" s="2"/>
      <c r="S419" s="2"/>
      <c r="T419" s="2"/>
      <c r="U419" s="2"/>
      <c r="V419" s="2"/>
      <c r="W419" s="2"/>
      <c r="X419" s="2"/>
    </row>
    <row r="420" ht="15.75" customHeight="1">
      <c r="R420" s="2"/>
      <c r="S420" s="2"/>
      <c r="T420" s="2"/>
      <c r="U420" s="2"/>
      <c r="V420" s="2"/>
      <c r="W420" s="2"/>
      <c r="X420" s="2"/>
    </row>
    <row r="421" ht="15.75" customHeight="1">
      <c r="R421" s="2"/>
      <c r="S421" s="2"/>
      <c r="T421" s="2"/>
      <c r="U421" s="2"/>
      <c r="V421" s="2"/>
      <c r="W421" s="2"/>
      <c r="X421" s="2"/>
    </row>
    <row r="422" ht="15.75" customHeight="1">
      <c r="R422" s="2"/>
      <c r="S422" s="2"/>
      <c r="T422" s="2"/>
      <c r="U422" s="2"/>
      <c r="V422" s="2"/>
      <c r="W422" s="2"/>
      <c r="X422" s="2"/>
    </row>
    <row r="423" ht="15.75" customHeight="1">
      <c r="R423" s="2"/>
      <c r="S423" s="2"/>
      <c r="T423" s="2"/>
      <c r="U423" s="2"/>
      <c r="V423" s="2"/>
      <c r="W423" s="2"/>
      <c r="X423" s="2"/>
    </row>
    <row r="424" ht="15.75" customHeight="1">
      <c r="R424" s="2"/>
      <c r="S424" s="2"/>
      <c r="T424" s="2"/>
      <c r="U424" s="2"/>
      <c r="V424" s="2"/>
      <c r="W424" s="2"/>
      <c r="X424" s="2"/>
    </row>
    <row r="425" ht="15.75" customHeight="1">
      <c r="R425" s="2"/>
      <c r="S425" s="2"/>
      <c r="T425" s="2"/>
      <c r="U425" s="2"/>
      <c r="V425" s="2"/>
      <c r="W425" s="2"/>
      <c r="X425" s="2"/>
    </row>
    <row r="426" ht="15.75" customHeight="1">
      <c r="R426" s="2"/>
      <c r="S426" s="2"/>
      <c r="T426" s="2"/>
      <c r="U426" s="2"/>
      <c r="V426" s="2"/>
      <c r="W426" s="2"/>
      <c r="X426" s="2"/>
    </row>
    <row r="427" ht="15.75" customHeight="1">
      <c r="R427" s="2"/>
      <c r="S427" s="2"/>
      <c r="T427" s="2"/>
      <c r="U427" s="2"/>
      <c r="V427" s="2"/>
      <c r="W427" s="2"/>
      <c r="X427" s="2"/>
    </row>
    <row r="428" ht="15.75" customHeight="1">
      <c r="R428" s="2"/>
      <c r="S428" s="2"/>
      <c r="T428" s="2"/>
      <c r="U428" s="2"/>
      <c r="V428" s="2"/>
      <c r="W428" s="2"/>
      <c r="X428" s="2"/>
    </row>
    <row r="429" ht="15.75" customHeight="1">
      <c r="R429" s="2"/>
      <c r="S429" s="2"/>
      <c r="T429" s="2"/>
      <c r="U429" s="2"/>
      <c r="V429" s="2"/>
      <c r="W429" s="2"/>
      <c r="X429" s="2"/>
    </row>
    <row r="430" ht="15.75" customHeight="1">
      <c r="R430" s="2"/>
      <c r="S430" s="2"/>
      <c r="T430" s="2"/>
      <c r="U430" s="2"/>
      <c r="V430" s="2"/>
      <c r="W430" s="2"/>
      <c r="X430" s="2"/>
    </row>
    <row r="431" ht="15.75" customHeight="1">
      <c r="R431" s="2"/>
      <c r="S431" s="2"/>
      <c r="T431" s="2"/>
      <c r="U431" s="2"/>
      <c r="V431" s="2"/>
      <c r="W431" s="2"/>
      <c r="X431" s="2"/>
    </row>
    <row r="432" ht="15.75" customHeight="1">
      <c r="R432" s="2"/>
      <c r="S432" s="2"/>
      <c r="T432" s="2"/>
      <c r="U432" s="2"/>
      <c r="V432" s="2"/>
      <c r="W432" s="2"/>
      <c r="X432" s="2"/>
    </row>
    <row r="433" ht="15.75" customHeight="1">
      <c r="R433" s="2"/>
      <c r="S433" s="2"/>
      <c r="T433" s="2"/>
      <c r="U433" s="2"/>
      <c r="V433" s="2"/>
      <c r="W433" s="2"/>
      <c r="X433" s="2"/>
    </row>
    <row r="434" ht="15.75" customHeight="1">
      <c r="R434" s="2"/>
      <c r="S434" s="2"/>
      <c r="T434" s="2"/>
      <c r="U434" s="2"/>
      <c r="V434" s="2"/>
      <c r="W434" s="2"/>
      <c r="X434" s="2"/>
    </row>
    <row r="435" ht="15.75" customHeight="1">
      <c r="R435" s="2"/>
      <c r="S435" s="2"/>
      <c r="T435" s="2"/>
      <c r="U435" s="2"/>
      <c r="V435" s="2"/>
      <c r="W435" s="2"/>
      <c r="X435" s="2"/>
    </row>
    <row r="436" ht="15.75" customHeight="1">
      <c r="R436" s="2"/>
      <c r="S436" s="2"/>
      <c r="T436" s="2"/>
      <c r="U436" s="2"/>
      <c r="V436" s="2"/>
      <c r="W436" s="2"/>
      <c r="X436" s="2"/>
    </row>
    <row r="437" ht="15.75" customHeight="1">
      <c r="R437" s="2"/>
      <c r="S437" s="2"/>
      <c r="T437" s="2"/>
      <c r="U437" s="2"/>
      <c r="V437" s="2"/>
      <c r="W437" s="2"/>
      <c r="X437" s="2"/>
    </row>
    <row r="438" ht="15.75" customHeight="1">
      <c r="R438" s="2"/>
      <c r="S438" s="2"/>
      <c r="T438" s="2"/>
      <c r="U438" s="2"/>
      <c r="V438" s="2"/>
      <c r="W438" s="2"/>
      <c r="X438" s="2"/>
    </row>
    <row r="439" ht="15.75" customHeight="1">
      <c r="R439" s="2"/>
      <c r="S439" s="2"/>
      <c r="T439" s="2"/>
      <c r="U439" s="2"/>
      <c r="V439" s="2"/>
      <c r="W439" s="2"/>
      <c r="X439" s="2"/>
    </row>
    <row r="440" ht="15.75" customHeight="1">
      <c r="R440" s="2"/>
      <c r="S440" s="2"/>
      <c r="T440" s="2"/>
      <c r="U440" s="2"/>
      <c r="V440" s="2"/>
      <c r="W440" s="2"/>
      <c r="X440" s="2"/>
    </row>
    <row r="441" ht="15.75" customHeight="1">
      <c r="R441" s="2"/>
      <c r="S441" s="2"/>
      <c r="T441" s="2"/>
      <c r="U441" s="2"/>
      <c r="V441" s="2"/>
      <c r="W441" s="2"/>
      <c r="X441" s="2"/>
    </row>
    <row r="442" ht="15.75" customHeight="1">
      <c r="R442" s="2"/>
      <c r="S442" s="2"/>
      <c r="T442" s="2"/>
      <c r="U442" s="2"/>
      <c r="V442" s="2"/>
      <c r="W442" s="2"/>
      <c r="X442" s="2"/>
    </row>
    <row r="443" ht="15.75" customHeight="1">
      <c r="R443" s="2"/>
      <c r="S443" s="2"/>
      <c r="T443" s="2"/>
      <c r="U443" s="2"/>
      <c r="V443" s="2"/>
      <c r="W443" s="2"/>
      <c r="X443" s="2"/>
    </row>
    <row r="444" ht="15.75" customHeight="1">
      <c r="R444" s="2"/>
      <c r="S444" s="2"/>
      <c r="T444" s="2"/>
      <c r="U444" s="2"/>
      <c r="V444" s="2"/>
      <c r="W444" s="2"/>
      <c r="X444" s="2"/>
    </row>
    <row r="445" ht="15.75" customHeight="1">
      <c r="R445" s="2"/>
      <c r="S445" s="2"/>
      <c r="T445" s="2"/>
      <c r="U445" s="2"/>
      <c r="V445" s="2"/>
      <c r="W445" s="2"/>
      <c r="X445" s="2"/>
    </row>
    <row r="446" ht="15.75" customHeight="1">
      <c r="R446" s="2"/>
      <c r="S446" s="2"/>
      <c r="T446" s="2"/>
      <c r="U446" s="2"/>
      <c r="V446" s="2"/>
      <c r="W446" s="2"/>
      <c r="X446" s="2"/>
    </row>
    <row r="447" ht="15.75" customHeight="1">
      <c r="R447" s="2"/>
      <c r="S447" s="2"/>
      <c r="T447" s="2"/>
      <c r="U447" s="2"/>
      <c r="V447" s="2"/>
      <c r="W447" s="2"/>
      <c r="X447" s="2"/>
    </row>
    <row r="448" ht="15.75" customHeight="1">
      <c r="R448" s="2"/>
      <c r="S448" s="2"/>
      <c r="T448" s="2"/>
      <c r="U448" s="2"/>
      <c r="V448" s="2"/>
      <c r="W448" s="2"/>
      <c r="X448" s="2"/>
    </row>
    <row r="449" ht="15.75" customHeight="1">
      <c r="R449" s="2"/>
      <c r="S449" s="2"/>
      <c r="T449" s="2"/>
      <c r="U449" s="2"/>
      <c r="V449" s="2"/>
      <c r="W449" s="2"/>
      <c r="X449" s="2"/>
    </row>
    <row r="450" ht="15.75" customHeight="1">
      <c r="R450" s="2"/>
      <c r="S450" s="2"/>
      <c r="T450" s="2"/>
      <c r="U450" s="2"/>
      <c r="V450" s="2"/>
      <c r="W450" s="2"/>
      <c r="X450" s="2"/>
    </row>
    <row r="451" ht="15.75" customHeight="1">
      <c r="R451" s="2"/>
      <c r="S451" s="2"/>
      <c r="T451" s="2"/>
      <c r="U451" s="2"/>
      <c r="V451" s="2"/>
      <c r="W451" s="2"/>
      <c r="X451" s="2"/>
    </row>
    <row r="452" ht="15.75" customHeight="1">
      <c r="R452" s="2"/>
      <c r="S452" s="2"/>
      <c r="T452" s="2"/>
      <c r="U452" s="2"/>
      <c r="V452" s="2"/>
      <c r="W452" s="2"/>
      <c r="X452" s="2"/>
    </row>
    <row r="453" ht="15.75" customHeight="1">
      <c r="R453" s="2"/>
      <c r="S453" s="2"/>
      <c r="T453" s="2"/>
      <c r="U453" s="2"/>
      <c r="V453" s="2"/>
      <c r="W453" s="2"/>
      <c r="X453" s="2"/>
    </row>
    <row r="454" ht="15.75" customHeight="1">
      <c r="R454" s="2"/>
      <c r="S454" s="2"/>
      <c r="T454" s="2"/>
      <c r="U454" s="2"/>
      <c r="V454" s="2"/>
      <c r="W454" s="2"/>
      <c r="X454" s="2"/>
    </row>
    <row r="455" ht="15.75" customHeight="1">
      <c r="R455" s="2"/>
      <c r="S455" s="2"/>
      <c r="T455" s="2"/>
      <c r="U455" s="2"/>
      <c r="V455" s="2"/>
      <c r="W455" s="2"/>
      <c r="X455" s="2"/>
    </row>
    <row r="456" ht="15.75" customHeight="1">
      <c r="R456" s="2"/>
      <c r="S456" s="2"/>
      <c r="T456" s="2"/>
      <c r="U456" s="2"/>
      <c r="V456" s="2"/>
      <c r="W456" s="2"/>
      <c r="X456" s="2"/>
    </row>
    <row r="457" ht="15.75" customHeight="1">
      <c r="R457" s="2"/>
      <c r="S457" s="2"/>
      <c r="T457" s="2"/>
      <c r="U457" s="2"/>
      <c r="V457" s="2"/>
      <c r="W457" s="2"/>
      <c r="X457" s="2"/>
    </row>
    <row r="458" ht="15.75" customHeight="1">
      <c r="R458" s="2"/>
      <c r="S458" s="2"/>
      <c r="T458" s="2"/>
      <c r="U458" s="2"/>
      <c r="V458" s="2"/>
      <c r="W458" s="2"/>
      <c r="X458" s="2"/>
    </row>
    <row r="459" ht="15.75" customHeight="1">
      <c r="R459" s="2"/>
      <c r="S459" s="2"/>
      <c r="T459" s="2"/>
      <c r="U459" s="2"/>
      <c r="V459" s="2"/>
      <c r="W459" s="2"/>
      <c r="X459" s="2"/>
    </row>
    <row r="460" ht="15.75" customHeight="1">
      <c r="R460" s="2"/>
      <c r="S460" s="2"/>
      <c r="T460" s="2"/>
      <c r="U460" s="2"/>
      <c r="V460" s="2"/>
      <c r="W460" s="2"/>
      <c r="X460" s="2"/>
    </row>
    <row r="461" ht="15.75" customHeight="1">
      <c r="R461" s="2"/>
      <c r="S461" s="2"/>
      <c r="T461" s="2"/>
      <c r="U461" s="2"/>
      <c r="V461" s="2"/>
      <c r="W461" s="2"/>
      <c r="X461" s="2"/>
    </row>
    <row r="462" ht="15.75" customHeight="1">
      <c r="R462" s="2"/>
      <c r="S462" s="2"/>
      <c r="T462" s="2"/>
      <c r="U462" s="2"/>
      <c r="V462" s="2"/>
      <c r="W462" s="2"/>
      <c r="X462" s="2"/>
    </row>
    <row r="463" ht="15.75" customHeight="1">
      <c r="R463" s="2"/>
      <c r="S463" s="2"/>
      <c r="T463" s="2"/>
      <c r="U463" s="2"/>
      <c r="V463" s="2"/>
      <c r="W463" s="2"/>
      <c r="X463" s="2"/>
    </row>
    <row r="464" ht="15.75" customHeight="1">
      <c r="R464" s="2"/>
      <c r="S464" s="2"/>
      <c r="T464" s="2"/>
      <c r="U464" s="2"/>
      <c r="V464" s="2"/>
      <c r="W464" s="2"/>
      <c r="X464" s="2"/>
    </row>
    <row r="465" ht="15.75" customHeight="1">
      <c r="R465" s="2"/>
      <c r="S465" s="2"/>
      <c r="T465" s="2"/>
      <c r="U465" s="2"/>
      <c r="V465" s="2"/>
      <c r="W465" s="2"/>
      <c r="X465" s="2"/>
    </row>
    <row r="466" ht="15.75" customHeight="1">
      <c r="R466" s="2"/>
      <c r="S466" s="2"/>
      <c r="T466" s="2"/>
      <c r="U466" s="2"/>
      <c r="V466" s="2"/>
      <c r="W466" s="2"/>
      <c r="X466" s="2"/>
    </row>
    <row r="467" ht="15.75" customHeight="1">
      <c r="R467" s="2"/>
      <c r="S467" s="2"/>
      <c r="T467" s="2"/>
      <c r="U467" s="2"/>
      <c r="V467" s="2"/>
      <c r="W467" s="2"/>
      <c r="X467" s="2"/>
    </row>
    <row r="468" ht="15.75" customHeight="1">
      <c r="R468" s="2"/>
      <c r="S468" s="2"/>
      <c r="T468" s="2"/>
      <c r="U468" s="2"/>
      <c r="V468" s="2"/>
      <c r="W468" s="2"/>
      <c r="X468" s="2"/>
    </row>
    <row r="469" ht="15.75" customHeight="1">
      <c r="R469" s="2"/>
      <c r="S469" s="2"/>
      <c r="T469" s="2"/>
      <c r="U469" s="2"/>
      <c r="V469" s="2"/>
      <c r="W469" s="2"/>
      <c r="X469" s="2"/>
    </row>
    <row r="470" ht="15.75" customHeight="1">
      <c r="R470" s="2"/>
      <c r="S470" s="2"/>
      <c r="T470" s="2"/>
      <c r="U470" s="2"/>
      <c r="V470" s="2"/>
      <c r="W470" s="2"/>
      <c r="X470" s="2"/>
    </row>
    <row r="471" ht="15.75" customHeight="1">
      <c r="R471" s="2"/>
      <c r="S471" s="2"/>
      <c r="T471" s="2"/>
      <c r="U471" s="2"/>
      <c r="V471" s="2"/>
      <c r="W471" s="2"/>
      <c r="X471" s="2"/>
    </row>
    <row r="472" ht="15.75" customHeight="1">
      <c r="R472" s="2"/>
      <c r="S472" s="2"/>
      <c r="T472" s="2"/>
      <c r="U472" s="2"/>
      <c r="V472" s="2"/>
      <c r="W472" s="2"/>
      <c r="X472" s="2"/>
    </row>
    <row r="473" ht="15.75" customHeight="1">
      <c r="R473" s="2"/>
      <c r="S473" s="2"/>
      <c r="T473" s="2"/>
      <c r="U473" s="2"/>
      <c r="V473" s="2"/>
      <c r="W473" s="2"/>
      <c r="X473" s="2"/>
    </row>
    <row r="474" ht="15.75" customHeight="1">
      <c r="R474" s="2"/>
      <c r="S474" s="2"/>
      <c r="T474" s="2"/>
      <c r="U474" s="2"/>
      <c r="V474" s="2"/>
      <c r="W474" s="2"/>
      <c r="X474" s="2"/>
    </row>
    <row r="475" ht="15.75" customHeight="1">
      <c r="R475" s="2"/>
      <c r="S475" s="2"/>
      <c r="T475" s="2"/>
      <c r="U475" s="2"/>
      <c r="V475" s="2"/>
      <c r="W475" s="2"/>
      <c r="X475" s="2"/>
    </row>
    <row r="476" ht="15.75" customHeight="1">
      <c r="R476" s="2"/>
      <c r="S476" s="2"/>
      <c r="T476" s="2"/>
      <c r="U476" s="2"/>
      <c r="V476" s="2"/>
      <c r="W476" s="2"/>
      <c r="X476" s="2"/>
    </row>
    <row r="477" ht="15.75" customHeight="1">
      <c r="R477" s="2"/>
      <c r="S477" s="2"/>
      <c r="T477" s="2"/>
      <c r="U477" s="2"/>
      <c r="V477" s="2"/>
      <c r="W477" s="2"/>
      <c r="X477" s="2"/>
    </row>
    <row r="478" ht="15.75" customHeight="1">
      <c r="R478" s="2"/>
      <c r="S478" s="2"/>
      <c r="T478" s="2"/>
      <c r="U478" s="2"/>
      <c r="V478" s="2"/>
      <c r="W478" s="2"/>
      <c r="X478" s="2"/>
    </row>
    <row r="479" ht="15.75" customHeight="1">
      <c r="R479" s="2"/>
      <c r="S479" s="2"/>
      <c r="T479" s="2"/>
      <c r="U479" s="2"/>
      <c r="V479" s="2"/>
      <c r="W479" s="2"/>
      <c r="X479" s="2"/>
    </row>
    <row r="480" ht="15.75" customHeight="1">
      <c r="R480" s="2"/>
      <c r="S480" s="2"/>
      <c r="T480" s="2"/>
      <c r="U480" s="2"/>
      <c r="V480" s="2"/>
      <c r="W480" s="2"/>
      <c r="X480" s="2"/>
    </row>
    <row r="481" ht="15.75" customHeight="1">
      <c r="R481" s="2"/>
      <c r="S481" s="2"/>
      <c r="T481" s="2"/>
      <c r="U481" s="2"/>
      <c r="V481" s="2"/>
      <c r="W481" s="2"/>
      <c r="X481" s="2"/>
    </row>
    <row r="482" ht="15.75" customHeight="1">
      <c r="R482" s="2"/>
      <c r="S482" s="2"/>
      <c r="T482" s="2"/>
      <c r="U482" s="2"/>
      <c r="V482" s="2"/>
      <c r="W482" s="2"/>
      <c r="X482" s="2"/>
    </row>
    <row r="483" ht="15.75" customHeight="1">
      <c r="R483" s="2"/>
      <c r="S483" s="2"/>
      <c r="T483" s="2"/>
      <c r="U483" s="2"/>
      <c r="V483" s="2"/>
      <c r="W483" s="2"/>
      <c r="X483" s="2"/>
    </row>
    <row r="484" ht="15.75" customHeight="1">
      <c r="R484" s="2"/>
      <c r="S484" s="2"/>
      <c r="T484" s="2"/>
      <c r="U484" s="2"/>
      <c r="V484" s="2"/>
      <c r="W484" s="2"/>
      <c r="X484" s="2"/>
    </row>
    <row r="485" ht="15.75" customHeight="1">
      <c r="R485" s="2"/>
      <c r="S485" s="2"/>
      <c r="T485" s="2"/>
      <c r="U485" s="2"/>
      <c r="V485" s="2"/>
      <c r="W485" s="2"/>
      <c r="X485" s="2"/>
    </row>
    <row r="486" ht="15.75" customHeight="1">
      <c r="R486" s="2"/>
      <c r="S486" s="2"/>
      <c r="T486" s="2"/>
      <c r="U486" s="2"/>
      <c r="V486" s="2"/>
      <c r="W486" s="2"/>
      <c r="X486" s="2"/>
    </row>
    <row r="487" ht="15.75" customHeight="1">
      <c r="R487" s="2"/>
      <c r="S487" s="2"/>
      <c r="T487" s="2"/>
      <c r="U487" s="2"/>
      <c r="V487" s="2"/>
      <c r="W487" s="2"/>
      <c r="X487" s="2"/>
    </row>
    <row r="488" ht="15.75" customHeight="1">
      <c r="R488" s="2"/>
      <c r="S488" s="2"/>
      <c r="T488" s="2"/>
      <c r="U488" s="2"/>
      <c r="V488" s="2"/>
      <c r="W488" s="2"/>
      <c r="X488" s="2"/>
    </row>
    <row r="489" ht="15.75" customHeight="1">
      <c r="R489" s="2"/>
      <c r="S489" s="2"/>
      <c r="T489" s="2"/>
      <c r="U489" s="2"/>
      <c r="V489" s="2"/>
      <c r="W489" s="2"/>
      <c r="X489" s="2"/>
    </row>
    <row r="490" ht="15.75" customHeight="1">
      <c r="R490" s="2"/>
      <c r="S490" s="2"/>
      <c r="T490" s="2"/>
      <c r="U490" s="2"/>
      <c r="V490" s="2"/>
      <c r="W490" s="2"/>
      <c r="X490" s="2"/>
    </row>
    <row r="491" ht="15.75" customHeight="1">
      <c r="R491" s="2"/>
      <c r="S491" s="2"/>
      <c r="T491" s="2"/>
      <c r="U491" s="2"/>
      <c r="V491" s="2"/>
      <c r="W491" s="2"/>
      <c r="X491" s="2"/>
    </row>
    <row r="492" ht="15.75" customHeight="1">
      <c r="R492" s="2"/>
      <c r="S492" s="2"/>
      <c r="T492" s="2"/>
      <c r="U492" s="2"/>
      <c r="V492" s="2"/>
      <c r="W492" s="2"/>
      <c r="X492" s="2"/>
    </row>
    <row r="493" ht="15.75" customHeight="1">
      <c r="R493" s="2"/>
      <c r="S493" s="2"/>
      <c r="T493" s="2"/>
      <c r="U493" s="2"/>
      <c r="V493" s="2"/>
      <c r="W493" s="2"/>
      <c r="X493" s="2"/>
    </row>
    <row r="494" ht="15.75" customHeight="1">
      <c r="R494" s="2"/>
      <c r="S494" s="2"/>
      <c r="T494" s="2"/>
      <c r="U494" s="2"/>
      <c r="V494" s="2"/>
      <c r="W494" s="2"/>
      <c r="X494" s="2"/>
    </row>
    <row r="495" ht="15.75" customHeight="1">
      <c r="R495" s="2"/>
      <c r="S495" s="2"/>
      <c r="T495" s="2"/>
      <c r="U495" s="2"/>
      <c r="V495" s="2"/>
      <c r="W495" s="2"/>
      <c r="X495" s="2"/>
    </row>
    <row r="496" ht="15.75" customHeight="1">
      <c r="R496" s="2"/>
      <c r="S496" s="2"/>
      <c r="T496" s="2"/>
      <c r="U496" s="2"/>
      <c r="V496" s="2"/>
      <c r="W496" s="2"/>
      <c r="X496" s="2"/>
    </row>
    <row r="497" ht="15.75" customHeight="1">
      <c r="R497" s="2"/>
      <c r="S497" s="2"/>
      <c r="T497" s="2"/>
      <c r="U497" s="2"/>
      <c r="V497" s="2"/>
      <c r="W497" s="2"/>
      <c r="X497" s="2"/>
    </row>
    <row r="498" ht="15.75" customHeight="1">
      <c r="R498" s="2"/>
      <c r="S498" s="2"/>
      <c r="T498" s="2"/>
      <c r="U498" s="2"/>
      <c r="V498" s="2"/>
      <c r="W498" s="2"/>
      <c r="X498" s="2"/>
    </row>
    <row r="499" ht="15.75" customHeight="1">
      <c r="R499" s="2"/>
      <c r="S499" s="2"/>
      <c r="T499" s="2"/>
      <c r="U499" s="2"/>
      <c r="V499" s="2"/>
      <c r="W499" s="2"/>
      <c r="X499" s="2"/>
    </row>
    <row r="500" ht="15.75" customHeight="1">
      <c r="R500" s="2"/>
      <c r="S500" s="2"/>
      <c r="T500" s="2"/>
      <c r="U500" s="2"/>
      <c r="V500" s="2"/>
      <c r="W500" s="2"/>
      <c r="X500" s="2"/>
    </row>
    <row r="501" ht="15.75" customHeight="1">
      <c r="R501" s="2"/>
      <c r="S501" s="2"/>
      <c r="T501" s="2"/>
      <c r="U501" s="2"/>
      <c r="V501" s="2"/>
      <c r="W501" s="2"/>
      <c r="X501" s="2"/>
    </row>
    <row r="502" ht="15.75" customHeight="1">
      <c r="R502" s="2"/>
      <c r="S502" s="2"/>
      <c r="T502" s="2"/>
      <c r="U502" s="2"/>
      <c r="V502" s="2"/>
      <c r="W502" s="2"/>
      <c r="X502" s="2"/>
    </row>
    <row r="503" ht="15.75" customHeight="1">
      <c r="R503" s="2"/>
      <c r="S503" s="2"/>
      <c r="T503" s="2"/>
      <c r="U503" s="2"/>
      <c r="V503" s="2"/>
      <c r="W503" s="2"/>
      <c r="X503" s="2"/>
    </row>
    <row r="504" ht="15.75" customHeight="1">
      <c r="R504" s="2"/>
      <c r="S504" s="2"/>
      <c r="T504" s="2"/>
      <c r="U504" s="2"/>
      <c r="V504" s="2"/>
      <c r="W504" s="2"/>
      <c r="X504" s="2"/>
    </row>
    <row r="505" ht="15.75" customHeight="1">
      <c r="R505" s="2"/>
      <c r="S505" s="2"/>
      <c r="T505" s="2"/>
      <c r="U505" s="2"/>
      <c r="V505" s="2"/>
      <c r="W505" s="2"/>
      <c r="X505" s="2"/>
    </row>
    <row r="506" ht="15.75" customHeight="1">
      <c r="R506" s="2"/>
      <c r="S506" s="2"/>
      <c r="T506" s="2"/>
      <c r="U506" s="2"/>
      <c r="V506" s="2"/>
      <c r="W506" s="2"/>
      <c r="X506" s="2"/>
    </row>
    <row r="507" ht="15.75" customHeight="1">
      <c r="R507" s="2"/>
      <c r="S507" s="2"/>
      <c r="T507" s="2"/>
      <c r="U507" s="2"/>
      <c r="V507" s="2"/>
      <c r="W507" s="2"/>
      <c r="X507" s="2"/>
    </row>
    <row r="508" ht="15.75" customHeight="1">
      <c r="R508" s="2"/>
      <c r="S508" s="2"/>
      <c r="T508" s="2"/>
      <c r="U508" s="2"/>
      <c r="V508" s="2"/>
      <c r="W508" s="2"/>
      <c r="X508" s="2"/>
    </row>
    <row r="509" ht="15.75" customHeight="1">
      <c r="R509" s="2"/>
      <c r="S509" s="2"/>
      <c r="T509" s="2"/>
      <c r="U509" s="2"/>
      <c r="V509" s="2"/>
      <c r="W509" s="2"/>
      <c r="X509" s="2"/>
    </row>
    <row r="510" ht="15.75" customHeight="1">
      <c r="R510" s="2"/>
      <c r="S510" s="2"/>
      <c r="T510" s="2"/>
      <c r="U510" s="2"/>
      <c r="V510" s="2"/>
      <c r="W510" s="2"/>
      <c r="X510" s="2"/>
    </row>
    <row r="511" ht="15.75" customHeight="1">
      <c r="R511" s="2"/>
      <c r="S511" s="2"/>
      <c r="T511" s="2"/>
      <c r="U511" s="2"/>
      <c r="V511" s="2"/>
      <c r="W511" s="2"/>
      <c r="X511" s="2"/>
    </row>
    <row r="512" ht="15.75" customHeight="1">
      <c r="R512" s="2"/>
      <c r="S512" s="2"/>
      <c r="T512" s="2"/>
      <c r="U512" s="2"/>
      <c r="V512" s="2"/>
      <c r="W512" s="2"/>
      <c r="X512" s="2"/>
    </row>
    <row r="513" ht="15.75" customHeight="1">
      <c r="R513" s="2"/>
      <c r="S513" s="2"/>
      <c r="T513" s="2"/>
      <c r="U513" s="2"/>
      <c r="V513" s="2"/>
      <c r="W513" s="2"/>
      <c r="X513" s="2"/>
    </row>
    <row r="514" ht="15.75" customHeight="1">
      <c r="R514" s="2"/>
      <c r="S514" s="2"/>
      <c r="T514" s="2"/>
      <c r="U514" s="2"/>
      <c r="V514" s="2"/>
      <c r="W514" s="2"/>
      <c r="X514" s="2"/>
    </row>
    <row r="515" ht="15.75" customHeight="1">
      <c r="R515" s="2"/>
      <c r="S515" s="2"/>
      <c r="T515" s="2"/>
      <c r="U515" s="2"/>
      <c r="V515" s="2"/>
      <c r="W515" s="2"/>
      <c r="X515" s="2"/>
    </row>
    <row r="516" ht="15.75" customHeight="1">
      <c r="R516" s="2"/>
      <c r="S516" s="2"/>
      <c r="T516" s="2"/>
      <c r="U516" s="2"/>
      <c r="V516" s="2"/>
      <c r="W516" s="2"/>
      <c r="X516" s="2"/>
    </row>
    <row r="517" ht="15.75" customHeight="1">
      <c r="R517" s="2"/>
      <c r="S517" s="2"/>
      <c r="T517" s="2"/>
      <c r="U517" s="2"/>
      <c r="V517" s="2"/>
      <c r="W517" s="2"/>
      <c r="X517" s="2"/>
    </row>
    <row r="518" ht="15.75" customHeight="1">
      <c r="R518" s="2"/>
      <c r="S518" s="2"/>
      <c r="T518" s="2"/>
      <c r="U518" s="2"/>
      <c r="V518" s="2"/>
      <c r="W518" s="2"/>
      <c r="X518" s="2"/>
    </row>
    <row r="519" ht="15.75" customHeight="1">
      <c r="R519" s="2"/>
      <c r="S519" s="2"/>
      <c r="T519" s="2"/>
      <c r="U519" s="2"/>
      <c r="V519" s="2"/>
      <c r="W519" s="2"/>
      <c r="X519" s="2"/>
    </row>
    <row r="520" ht="15.75" customHeight="1">
      <c r="R520" s="2"/>
      <c r="S520" s="2"/>
      <c r="T520" s="2"/>
      <c r="U520" s="2"/>
      <c r="V520" s="2"/>
      <c r="W520" s="2"/>
      <c r="X520" s="2"/>
    </row>
    <row r="521" ht="15.75" customHeight="1">
      <c r="R521" s="2"/>
      <c r="S521" s="2"/>
      <c r="T521" s="2"/>
      <c r="U521" s="2"/>
      <c r="V521" s="2"/>
      <c r="W521" s="2"/>
      <c r="X521" s="2"/>
    </row>
    <row r="522" ht="15.75" customHeight="1">
      <c r="R522" s="2"/>
      <c r="S522" s="2"/>
      <c r="T522" s="2"/>
      <c r="U522" s="2"/>
      <c r="V522" s="2"/>
      <c r="W522" s="2"/>
      <c r="X522" s="2"/>
    </row>
    <row r="523" ht="15.75" customHeight="1">
      <c r="R523" s="2"/>
      <c r="S523" s="2"/>
      <c r="T523" s="2"/>
      <c r="U523" s="2"/>
      <c r="V523" s="2"/>
      <c r="W523" s="2"/>
      <c r="X523" s="2"/>
    </row>
    <row r="524" ht="15.75" customHeight="1">
      <c r="R524" s="2"/>
      <c r="S524" s="2"/>
      <c r="T524" s="2"/>
      <c r="U524" s="2"/>
      <c r="V524" s="2"/>
      <c r="W524" s="2"/>
      <c r="X524" s="2"/>
    </row>
    <row r="525" ht="15.75" customHeight="1">
      <c r="R525" s="2"/>
      <c r="S525" s="2"/>
      <c r="T525" s="2"/>
      <c r="U525" s="2"/>
      <c r="V525" s="2"/>
      <c r="W525" s="2"/>
      <c r="X525" s="2"/>
    </row>
    <row r="526" ht="15.75" customHeight="1">
      <c r="R526" s="2"/>
      <c r="S526" s="2"/>
      <c r="T526" s="2"/>
      <c r="U526" s="2"/>
      <c r="V526" s="2"/>
      <c r="W526" s="2"/>
      <c r="X526" s="2"/>
    </row>
    <row r="527" ht="15.75" customHeight="1">
      <c r="R527" s="2"/>
      <c r="S527" s="2"/>
      <c r="T527" s="2"/>
      <c r="U527" s="2"/>
      <c r="V527" s="2"/>
      <c r="W527" s="2"/>
      <c r="X527" s="2"/>
    </row>
    <row r="528" ht="15.75" customHeight="1">
      <c r="R528" s="2"/>
      <c r="S528" s="2"/>
      <c r="T528" s="2"/>
      <c r="U528" s="2"/>
      <c r="V528" s="2"/>
      <c r="W528" s="2"/>
      <c r="X528" s="2"/>
    </row>
    <row r="529" ht="15.75" customHeight="1">
      <c r="R529" s="2"/>
      <c r="S529" s="2"/>
      <c r="T529" s="2"/>
      <c r="U529" s="2"/>
      <c r="V529" s="2"/>
      <c r="W529" s="2"/>
      <c r="X529" s="2"/>
    </row>
    <row r="530" ht="15.75" customHeight="1">
      <c r="R530" s="2"/>
      <c r="S530" s="2"/>
      <c r="T530" s="2"/>
      <c r="U530" s="2"/>
      <c r="V530" s="2"/>
      <c r="W530" s="2"/>
      <c r="X530" s="2"/>
    </row>
    <row r="531" ht="15.75" customHeight="1">
      <c r="R531" s="2"/>
      <c r="S531" s="2"/>
      <c r="T531" s="2"/>
      <c r="U531" s="2"/>
      <c r="V531" s="2"/>
      <c r="W531" s="2"/>
      <c r="X531" s="2"/>
    </row>
    <row r="532" ht="15.75" customHeight="1">
      <c r="R532" s="2"/>
      <c r="S532" s="2"/>
      <c r="T532" s="2"/>
      <c r="U532" s="2"/>
      <c r="V532" s="2"/>
      <c r="W532" s="2"/>
      <c r="X532" s="2"/>
    </row>
    <row r="533" ht="15.75" customHeight="1">
      <c r="R533" s="2"/>
      <c r="S533" s="2"/>
      <c r="T533" s="2"/>
      <c r="U533" s="2"/>
      <c r="V533" s="2"/>
      <c r="W533" s="2"/>
      <c r="X533" s="2"/>
    </row>
    <row r="534" ht="15.75" customHeight="1">
      <c r="R534" s="2"/>
      <c r="S534" s="2"/>
      <c r="T534" s="2"/>
      <c r="U534" s="2"/>
      <c r="V534" s="2"/>
      <c r="W534" s="2"/>
      <c r="X534" s="2"/>
    </row>
    <row r="535" ht="15.75" customHeight="1">
      <c r="R535" s="2"/>
      <c r="S535" s="2"/>
      <c r="T535" s="2"/>
      <c r="U535" s="2"/>
      <c r="V535" s="2"/>
      <c r="W535" s="2"/>
      <c r="X535" s="2"/>
    </row>
    <row r="536" ht="15.75" customHeight="1">
      <c r="R536" s="2"/>
      <c r="S536" s="2"/>
      <c r="T536" s="2"/>
      <c r="U536" s="2"/>
      <c r="V536" s="2"/>
      <c r="W536" s="2"/>
      <c r="X536" s="2"/>
    </row>
    <row r="537" ht="15.75" customHeight="1">
      <c r="R537" s="2"/>
      <c r="S537" s="2"/>
      <c r="T537" s="2"/>
      <c r="U537" s="2"/>
      <c r="V537" s="2"/>
      <c r="W537" s="2"/>
      <c r="X537" s="2"/>
    </row>
    <row r="538" ht="15.75" customHeight="1">
      <c r="R538" s="2"/>
      <c r="S538" s="2"/>
      <c r="T538" s="2"/>
      <c r="U538" s="2"/>
      <c r="V538" s="2"/>
      <c r="W538" s="2"/>
      <c r="X538" s="2"/>
    </row>
    <row r="539" ht="15.75" customHeight="1">
      <c r="R539" s="2"/>
      <c r="S539" s="2"/>
      <c r="T539" s="2"/>
      <c r="U539" s="2"/>
      <c r="V539" s="2"/>
      <c r="W539" s="2"/>
      <c r="X539" s="2"/>
    </row>
    <row r="540" ht="15.75" customHeight="1">
      <c r="R540" s="2"/>
      <c r="S540" s="2"/>
      <c r="T540" s="2"/>
      <c r="U540" s="2"/>
      <c r="V540" s="2"/>
      <c r="W540" s="2"/>
      <c r="X540" s="2"/>
    </row>
    <row r="541" ht="15.75" customHeight="1">
      <c r="R541" s="2"/>
      <c r="S541" s="2"/>
      <c r="T541" s="2"/>
      <c r="U541" s="2"/>
      <c r="V541" s="2"/>
      <c r="W541" s="2"/>
      <c r="X541" s="2"/>
    </row>
    <row r="542" ht="15.75" customHeight="1">
      <c r="R542" s="2"/>
      <c r="S542" s="2"/>
      <c r="T542" s="2"/>
      <c r="U542" s="2"/>
      <c r="V542" s="2"/>
      <c r="W542" s="2"/>
      <c r="X542" s="2"/>
    </row>
    <row r="543" ht="15.75" customHeight="1">
      <c r="R543" s="2"/>
      <c r="S543" s="2"/>
      <c r="T543" s="2"/>
      <c r="U543" s="2"/>
      <c r="V543" s="2"/>
      <c r="W543" s="2"/>
      <c r="X543" s="2"/>
    </row>
    <row r="544" ht="15.75" customHeight="1">
      <c r="R544" s="2"/>
      <c r="S544" s="2"/>
      <c r="T544" s="2"/>
      <c r="U544" s="2"/>
      <c r="V544" s="2"/>
      <c r="W544" s="2"/>
      <c r="X544" s="2"/>
    </row>
    <row r="545" ht="15.75" customHeight="1">
      <c r="R545" s="2"/>
      <c r="S545" s="2"/>
      <c r="T545" s="2"/>
      <c r="U545" s="2"/>
      <c r="V545" s="2"/>
      <c r="W545" s="2"/>
      <c r="X545" s="2"/>
    </row>
    <row r="546" ht="15.75" customHeight="1">
      <c r="R546" s="2"/>
      <c r="S546" s="2"/>
      <c r="T546" s="2"/>
      <c r="U546" s="2"/>
      <c r="V546" s="2"/>
      <c r="W546" s="2"/>
      <c r="X546" s="2"/>
    </row>
    <row r="547" ht="15.75" customHeight="1">
      <c r="R547" s="2"/>
      <c r="S547" s="2"/>
      <c r="T547" s="2"/>
      <c r="U547" s="2"/>
      <c r="V547" s="2"/>
      <c r="W547" s="2"/>
      <c r="X547" s="2"/>
    </row>
    <row r="548" ht="15.75" customHeight="1">
      <c r="R548" s="2"/>
      <c r="S548" s="2"/>
      <c r="T548" s="2"/>
      <c r="U548" s="2"/>
      <c r="V548" s="2"/>
      <c r="W548" s="2"/>
      <c r="X548" s="2"/>
    </row>
    <row r="549" ht="15.75" customHeight="1">
      <c r="R549" s="2"/>
      <c r="S549" s="2"/>
      <c r="T549" s="2"/>
      <c r="U549" s="2"/>
      <c r="V549" s="2"/>
      <c r="W549" s="2"/>
      <c r="X549" s="2"/>
    </row>
    <row r="550" ht="15.75" customHeight="1">
      <c r="R550" s="2"/>
      <c r="S550" s="2"/>
      <c r="T550" s="2"/>
      <c r="U550" s="2"/>
      <c r="V550" s="2"/>
      <c r="W550" s="2"/>
      <c r="X550" s="2"/>
    </row>
    <row r="551" ht="15.75" customHeight="1">
      <c r="R551" s="2"/>
      <c r="S551" s="2"/>
      <c r="T551" s="2"/>
      <c r="U551" s="2"/>
      <c r="V551" s="2"/>
      <c r="W551" s="2"/>
      <c r="X551" s="2"/>
    </row>
    <row r="552" ht="15.75" customHeight="1">
      <c r="R552" s="2"/>
      <c r="S552" s="2"/>
      <c r="T552" s="2"/>
      <c r="U552" s="2"/>
      <c r="V552" s="2"/>
      <c r="W552" s="2"/>
      <c r="X552" s="2"/>
    </row>
    <row r="553" ht="15.75" customHeight="1">
      <c r="R553" s="2"/>
      <c r="S553" s="2"/>
      <c r="T553" s="2"/>
      <c r="U553" s="2"/>
      <c r="V553" s="2"/>
      <c r="W553" s="2"/>
      <c r="X553" s="2"/>
    </row>
    <row r="554" ht="15.75" customHeight="1">
      <c r="R554" s="2"/>
      <c r="S554" s="2"/>
      <c r="T554" s="2"/>
      <c r="U554" s="2"/>
      <c r="V554" s="2"/>
      <c r="W554" s="2"/>
      <c r="X554" s="2"/>
    </row>
    <row r="555" ht="15.75" customHeight="1">
      <c r="R555" s="2"/>
      <c r="S555" s="2"/>
      <c r="T555" s="2"/>
      <c r="U555" s="2"/>
      <c r="V555" s="2"/>
      <c r="W555" s="2"/>
      <c r="X555" s="2"/>
    </row>
    <row r="556" ht="15.75" customHeight="1">
      <c r="R556" s="2"/>
      <c r="S556" s="2"/>
      <c r="T556" s="2"/>
      <c r="U556" s="2"/>
      <c r="V556" s="2"/>
      <c r="W556" s="2"/>
      <c r="X556" s="2"/>
    </row>
    <row r="557" ht="15.75" customHeight="1">
      <c r="R557" s="2"/>
      <c r="S557" s="2"/>
      <c r="T557" s="2"/>
      <c r="U557" s="2"/>
      <c r="V557" s="2"/>
      <c r="W557" s="2"/>
      <c r="X557" s="2"/>
    </row>
    <row r="558" ht="15.75" customHeight="1">
      <c r="R558" s="2"/>
      <c r="S558" s="2"/>
      <c r="T558" s="2"/>
      <c r="U558" s="2"/>
      <c r="V558" s="2"/>
      <c r="W558" s="2"/>
      <c r="X558" s="2"/>
    </row>
    <row r="559" ht="15.75" customHeight="1">
      <c r="R559" s="2"/>
      <c r="S559" s="2"/>
      <c r="T559" s="2"/>
      <c r="U559" s="2"/>
      <c r="V559" s="2"/>
      <c r="W559" s="2"/>
      <c r="X559" s="2"/>
    </row>
    <row r="560" ht="15.75" customHeight="1">
      <c r="R560" s="2"/>
      <c r="S560" s="2"/>
      <c r="T560" s="2"/>
      <c r="U560" s="2"/>
      <c r="V560" s="2"/>
      <c r="W560" s="2"/>
      <c r="X560" s="2"/>
    </row>
    <row r="561" ht="15.75" customHeight="1">
      <c r="R561" s="2"/>
      <c r="S561" s="2"/>
      <c r="T561" s="2"/>
      <c r="U561" s="2"/>
      <c r="V561" s="2"/>
      <c r="W561" s="2"/>
      <c r="X561" s="2"/>
    </row>
    <row r="562" ht="15.75" customHeight="1">
      <c r="R562" s="2"/>
      <c r="S562" s="2"/>
      <c r="T562" s="2"/>
      <c r="U562" s="2"/>
      <c r="V562" s="2"/>
      <c r="W562" s="2"/>
      <c r="X562" s="2"/>
    </row>
    <row r="563" ht="15.75" customHeight="1">
      <c r="R563" s="2"/>
      <c r="S563" s="2"/>
      <c r="T563" s="2"/>
      <c r="U563" s="2"/>
      <c r="V563" s="2"/>
      <c r="W563" s="2"/>
      <c r="X563" s="2"/>
    </row>
    <row r="564" ht="15.75" customHeight="1">
      <c r="R564" s="2"/>
      <c r="S564" s="2"/>
      <c r="T564" s="2"/>
      <c r="U564" s="2"/>
      <c r="V564" s="2"/>
      <c r="W564" s="2"/>
      <c r="X564" s="2"/>
    </row>
    <row r="565" ht="15.75" customHeight="1">
      <c r="R565" s="2"/>
      <c r="S565" s="2"/>
      <c r="T565" s="2"/>
      <c r="U565" s="2"/>
      <c r="V565" s="2"/>
      <c r="W565" s="2"/>
      <c r="X565" s="2"/>
    </row>
    <row r="566" ht="15.75" customHeight="1">
      <c r="R566" s="2"/>
      <c r="S566" s="2"/>
      <c r="T566" s="2"/>
      <c r="U566" s="2"/>
      <c r="V566" s="2"/>
      <c r="W566" s="2"/>
      <c r="X566" s="2"/>
    </row>
    <row r="567" ht="15.75" customHeight="1">
      <c r="R567" s="2"/>
      <c r="S567" s="2"/>
      <c r="T567" s="2"/>
      <c r="U567" s="2"/>
      <c r="V567" s="2"/>
      <c r="W567" s="2"/>
      <c r="X567" s="2"/>
    </row>
    <row r="568" ht="15.75" customHeight="1">
      <c r="R568" s="2"/>
      <c r="S568" s="2"/>
      <c r="T568" s="2"/>
      <c r="U568" s="2"/>
      <c r="V568" s="2"/>
      <c r="W568" s="2"/>
      <c r="X568" s="2"/>
    </row>
    <row r="569" ht="15.75" customHeight="1">
      <c r="R569" s="2"/>
      <c r="S569" s="2"/>
      <c r="T569" s="2"/>
      <c r="U569" s="2"/>
      <c r="V569" s="2"/>
      <c r="W569" s="2"/>
      <c r="X569" s="2"/>
    </row>
    <row r="570" ht="15.75" customHeight="1">
      <c r="R570" s="2"/>
      <c r="S570" s="2"/>
      <c r="T570" s="2"/>
      <c r="U570" s="2"/>
      <c r="V570" s="2"/>
      <c r="W570" s="2"/>
      <c r="X570" s="2"/>
    </row>
    <row r="571" ht="15.75" customHeight="1">
      <c r="R571" s="2"/>
      <c r="S571" s="2"/>
      <c r="T571" s="2"/>
      <c r="U571" s="2"/>
      <c r="V571" s="2"/>
      <c r="W571" s="2"/>
      <c r="X571" s="2"/>
    </row>
    <row r="572" ht="15.75" customHeight="1">
      <c r="R572" s="2"/>
      <c r="S572" s="2"/>
      <c r="T572" s="2"/>
      <c r="U572" s="2"/>
      <c r="V572" s="2"/>
      <c r="W572" s="2"/>
      <c r="X572" s="2"/>
    </row>
    <row r="573" ht="15.75" customHeight="1">
      <c r="R573" s="2"/>
      <c r="S573" s="2"/>
      <c r="T573" s="2"/>
      <c r="U573" s="2"/>
      <c r="V573" s="2"/>
      <c r="W573" s="2"/>
      <c r="X573" s="2"/>
    </row>
    <row r="574" ht="15.75" customHeight="1">
      <c r="R574" s="2"/>
      <c r="S574" s="2"/>
      <c r="T574" s="2"/>
      <c r="U574" s="2"/>
      <c r="V574" s="2"/>
      <c r="W574" s="2"/>
      <c r="X574" s="2"/>
    </row>
    <row r="575" ht="15.75" customHeight="1">
      <c r="R575" s="2"/>
      <c r="S575" s="2"/>
      <c r="T575" s="2"/>
      <c r="U575" s="2"/>
      <c r="V575" s="2"/>
      <c r="W575" s="2"/>
      <c r="X575" s="2"/>
    </row>
    <row r="576" ht="15.75" customHeight="1">
      <c r="R576" s="2"/>
      <c r="S576" s="2"/>
      <c r="T576" s="2"/>
      <c r="U576" s="2"/>
      <c r="V576" s="2"/>
      <c r="W576" s="2"/>
      <c r="X576" s="2"/>
    </row>
    <row r="577" ht="15.75" customHeight="1">
      <c r="R577" s="2"/>
      <c r="S577" s="2"/>
      <c r="T577" s="2"/>
      <c r="U577" s="2"/>
      <c r="V577" s="2"/>
      <c r="W577" s="2"/>
      <c r="X577" s="2"/>
    </row>
    <row r="578" ht="15.75" customHeight="1">
      <c r="R578" s="2"/>
      <c r="S578" s="2"/>
      <c r="T578" s="2"/>
      <c r="U578" s="2"/>
      <c r="V578" s="2"/>
      <c r="W578" s="2"/>
      <c r="X578" s="2"/>
    </row>
    <row r="579" ht="15.75" customHeight="1">
      <c r="R579" s="2"/>
      <c r="S579" s="2"/>
      <c r="T579" s="2"/>
      <c r="U579" s="2"/>
      <c r="V579" s="2"/>
      <c r="W579" s="2"/>
      <c r="X579" s="2"/>
    </row>
    <row r="580" ht="15.75" customHeight="1">
      <c r="R580" s="2"/>
      <c r="S580" s="2"/>
      <c r="T580" s="2"/>
      <c r="U580" s="2"/>
      <c r="V580" s="2"/>
      <c r="W580" s="2"/>
      <c r="X580" s="2"/>
    </row>
    <row r="581" ht="15.75" customHeight="1">
      <c r="R581" s="2"/>
      <c r="S581" s="2"/>
      <c r="T581" s="2"/>
      <c r="U581" s="2"/>
      <c r="V581" s="2"/>
      <c r="W581" s="2"/>
      <c r="X581" s="2"/>
    </row>
    <row r="582" ht="15.75" customHeight="1">
      <c r="R582" s="2"/>
      <c r="S582" s="2"/>
      <c r="T582" s="2"/>
      <c r="U582" s="2"/>
      <c r="V582" s="2"/>
      <c r="W582" s="2"/>
      <c r="X582" s="2"/>
    </row>
    <row r="583" ht="15.75" customHeight="1">
      <c r="R583" s="2"/>
      <c r="S583" s="2"/>
      <c r="T583" s="2"/>
      <c r="U583" s="2"/>
      <c r="V583" s="2"/>
      <c r="W583" s="2"/>
      <c r="X583" s="2"/>
    </row>
    <row r="584" ht="15.75" customHeight="1">
      <c r="R584" s="2"/>
      <c r="S584" s="2"/>
      <c r="T584" s="2"/>
      <c r="U584" s="2"/>
      <c r="V584" s="2"/>
      <c r="W584" s="2"/>
      <c r="X584" s="2"/>
    </row>
    <row r="585" ht="15.75" customHeight="1">
      <c r="R585" s="2"/>
      <c r="S585" s="2"/>
      <c r="T585" s="2"/>
      <c r="U585" s="2"/>
      <c r="V585" s="2"/>
      <c r="W585" s="2"/>
      <c r="X585" s="2"/>
    </row>
    <row r="586" ht="15.75" customHeight="1">
      <c r="R586" s="2"/>
      <c r="S586" s="2"/>
      <c r="T586" s="2"/>
      <c r="U586" s="2"/>
      <c r="V586" s="2"/>
      <c r="W586" s="2"/>
      <c r="X586" s="2"/>
    </row>
    <row r="587" ht="15.75" customHeight="1">
      <c r="R587" s="2"/>
      <c r="S587" s="2"/>
      <c r="T587" s="2"/>
      <c r="U587" s="2"/>
      <c r="V587" s="2"/>
      <c r="W587" s="2"/>
      <c r="X587" s="2"/>
    </row>
    <row r="588" ht="15.75" customHeight="1">
      <c r="R588" s="2"/>
      <c r="S588" s="2"/>
      <c r="T588" s="2"/>
      <c r="U588" s="2"/>
      <c r="V588" s="2"/>
      <c r="W588" s="2"/>
      <c r="X588" s="2"/>
    </row>
    <row r="589" ht="15.75" customHeight="1">
      <c r="R589" s="2"/>
      <c r="S589" s="2"/>
      <c r="T589" s="2"/>
      <c r="U589" s="2"/>
      <c r="V589" s="2"/>
      <c r="W589" s="2"/>
      <c r="X589" s="2"/>
    </row>
    <row r="590" ht="15.75" customHeight="1">
      <c r="R590" s="2"/>
      <c r="S590" s="2"/>
      <c r="T590" s="2"/>
      <c r="U590" s="2"/>
      <c r="V590" s="2"/>
      <c r="W590" s="2"/>
      <c r="X590" s="2"/>
    </row>
    <row r="591" ht="15.75" customHeight="1">
      <c r="R591" s="2"/>
      <c r="S591" s="2"/>
      <c r="T591" s="2"/>
      <c r="U591" s="2"/>
      <c r="V591" s="2"/>
      <c r="W591" s="2"/>
      <c r="X591" s="2"/>
    </row>
    <row r="592" ht="15.75" customHeight="1">
      <c r="R592" s="2"/>
      <c r="S592" s="2"/>
      <c r="T592" s="2"/>
      <c r="U592" s="2"/>
      <c r="V592" s="2"/>
      <c r="W592" s="2"/>
      <c r="X592" s="2"/>
    </row>
    <row r="593" ht="15.75" customHeight="1">
      <c r="R593" s="2"/>
      <c r="S593" s="2"/>
      <c r="T593" s="2"/>
      <c r="U593" s="2"/>
      <c r="V593" s="2"/>
      <c r="W593" s="2"/>
      <c r="X593" s="2"/>
    </row>
    <row r="594" ht="15.75" customHeight="1">
      <c r="R594" s="2"/>
      <c r="S594" s="2"/>
      <c r="T594" s="2"/>
      <c r="U594" s="2"/>
      <c r="V594" s="2"/>
      <c r="W594" s="2"/>
      <c r="X594" s="2"/>
    </row>
    <row r="595" ht="15.75" customHeight="1">
      <c r="R595" s="2"/>
      <c r="S595" s="2"/>
      <c r="T595" s="2"/>
      <c r="U595" s="2"/>
      <c r="V595" s="2"/>
      <c r="W595" s="2"/>
      <c r="X595" s="2"/>
    </row>
    <row r="596" ht="15.75" customHeight="1">
      <c r="R596" s="2"/>
      <c r="S596" s="2"/>
      <c r="T596" s="2"/>
      <c r="U596" s="2"/>
      <c r="V596" s="2"/>
      <c r="W596" s="2"/>
      <c r="X596" s="2"/>
    </row>
    <row r="597" ht="15.75" customHeight="1">
      <c r="R597" s="2"/>
      <c r="S597" s="2"/>
      <c r="T597" s="2"/>
      <c r="U597" s="2"/>
      <c r="V597" s="2"/>
      <c r="W597" s="2"/>
      <c r="X597" s="2"/>
    </row>
    <row r="598" ht="15.75" customHeight="1">
      <c r="R598" s="2"/>
      <c r="S598" s="2"/>
      <c r="T598" s="2"/>
      <c r="U598" s="2"/>
      <c r="V598" s="2"/>
      <c r="W598" s="2"/>
      <c r="X598" s="2"/>
    </row>
    <row r="599" ht="15.75" customHeight="1">
      <c r="R599" s="2"/>
      <c r="S599" s="2"/>
      <c r="T599" s="2"/>
      <c r="U599" s="2"/>
      <c r="V599" s="2"/>
      <c r="W599" s="2"/>
      <c r="X599" s="2"/>
    </row>
    <row r="600" ht="15.75" customHeight="1">
      <c r="R600" s="2"/>
      <c r="S600" s="2"/>
      <c r="T600" s="2"/>
      <c r="U600" s="2"/>
      <c r="V600" s="2"/>
      <c r="W600" s="2"/>
      <c r="X600" s="2"/>
    </row>
    <row r="601" ht="15.75" customHeight="1">
      <c r="R601" s="2"/>
      <c r="S601" s="2"/>
      <c r="T601" s="2"/>
      <c r="U601" s="2"/>
      <c r="V601" s="2"/>
      <c r="W601" s="2"/>
      <c r="X601" s="2"/>
    </row>
    <row r="602" ht="15.75" customHeight="1">
      <c r="R602" s="2"/>
      <c r="S602" s="2"/>
      <c r="T602" s="2"/>
      <c r="U602" s="2"/>
      <c r="V602" s="2"/>
      <c r="W602" s="2"/>
      <c r="X602" s="2"/>
    </row>
    <row r="603" ht="15.75" customHeight="1">
      <c r="R603" s="2"/>
      <c r="S603" s="2"/>
      <c r="T603" s="2"/>
      <c r="U603" s="2"/>
      <c r="V603" s="2"/>
      <c r="W603" s="2"/>
      <c r="X603" s="2"/>
    </row>
    <row r="604" ht="15.75" customHeight="1">
      <c r="R604" s="2"/>
      <c r="S604" s="2"/>
      <c r="T604" s="2"/>
      <c r="U604" s="2"/>
      <c r="V604" s="2"/>
      <c r="W604" s="2"/>
      <c r="X604" s="2"/>
    </row>
    <row r="605" ht="15.75" customHeight="1">
      <c r="R605" s="2"/>
      <c r="S605" s="2"/>
      <c r="T605" s="2"/>
      <c r="U605" s="2"/>
      <c r="V605" s="2"/>
      <c r="W605" s="2"/>
      <c r="X605" s="2"/>
    </row>
    <row r="606" ht="15.75" customHeight="1">
      <c r="R606" s="2"/>
      <c r="S606" s="2"/>
      <c r="T606" s="2"/>
      <c r="U606" s="2"/>
      <c r="V606" s="2"/>
      <c r="W606" s="2"/>
      <c r="X606" s="2"/>
    </row>
    <row r="607" ht="15.75" customHeight="1">
      <c r="R607" s="2"/>
      <c r="S607" s="2"/>
      <c r="T607" s="2"/>
      <c r="U607" s="2"/>
      <c r="V607" s="2"/>
      <c r="W607" s="2"/>
      <c r="X607" s="2"/>
    </row>
    <row r="608" ht="15.75" customHeight="1">
      <c r="R608" s="2"/>
      <c r="S608" s="2"/>
      <c r="T608" s="2"/>
      <c r="U608" s="2"/>
      <c r="V608" s="2"/>
      <c r="W608" s="2"/>
      <c r="X608" s="2"/>
    </row>
    <row r="609" ht="15.75" customHeight="1">
      <c r="R609" s="2"/>
      <c r="S609" s="2"/>
      <c r="T609" s="2"/>
      <c r="U609" s="2"/>
      <c r="V609" s="2"/>
      <c r="W609" s="2"/>
      <c r="X609" s="2"/>
    </row>
    <row r="610" ht="15.75" customHeight="1">
      <c r="R610" s="2"/>
      <c r="S610" s="2"/>
      <c r="T610" s="2"/>
      <c r="U610" s="2"/>
      <c r="V610" s="2"/>
      <c r="W610" s="2"/>
      <c r="X610" s="2"/>
    </row>
    <row r="611" ht="15.75" customHeight="1">
      <c r="R611" s="2"/>
      <c r="S611" s="2"/>
      <c r="T611" s="2"/>
      <c r="U611" s="2"/>
      <c r="V611" s="2"/>
      <c r="W611" s="2"/>
      <c r="X611" s="2"/>
    </row>
    <row r="612" ht="15.75" customHeight="1">
      <c r="R612" s="2"/>
      <c r="S612" s="2"/>
      <c r="T612" s="2"/>
      <c r="U612" s="2"/>
      <c r="V612" s="2"/>
      <c r="W612" s="2"/>
      <c r="X612" s="2"/>
    </row>
    <row r="613" ht="15.75" customHeight="1">
      <c r="R613" s="2"/>
      <c r="S613" s="2"/>
      <c r="T613" s="2"/>
      <c r="U613" s="2"/>
      <c r="V613" s="2"/>
      <c r="W613" s="2"/>
      <c r="X613" s="2"/>
    </row>
    <row r="614" ht="15.75" customHeight="1">
      <c r="R614" s="2"/>
      <c r="S614" s="2"/>
      <c r="T614" s="2"/>
      <c r="U614" s="2"/>
      <c r="V614" s="2"/>
      <c r="W614" s="2"/>
      <c r="X614" s="2"/>
    </row>
    <row r="615" ht="15.75" customHeight="1">
      <c r="R615" s="2"/>
      <c r="S615" s="2"/>
      <c r="T615" s="2"/>
      <c r="U615" s="2"/>
      <c r="V615" s="2"/>
      <c r="W615" s="2"/>
      <c r="X615" s="2"/>
    </row>
    <row r="616" ht="15.75" customHeight="1">
      <c r="R616" s="2"/>
      <c r="S616" s="2"/>
      <c r="T616" s="2"/>
      <c r="U616" s="2"/>
      <c r="V616" s="2"/>
      <c r="W616" s="2"/>
      <c r="X616" s="2"/>
    </row>
    <row r="617" ht="15.75" customHeight="1">
      <c r="R617" s="2"/>
      <c r="S617" s="2"/>
      <c r="T617" s="2"/>
      <c r="U617" s="2"/>
      <c r="V617" s="2"/>
      <c r="W617" s="2"/>
      <c r="X617" s="2"/>
    </row>
    <row r="618" ht="15.75" customHeight="1">
      <c r="R618" s="2"/>
      <c r="S618" s="2"/>
      <c r="T618" s="2"/>
      <c r="U618" s="2"/>
      <c r="V618" s="2"/>
      <c r="W618" s="2"/>
      <c r="X618" s="2"/>
    </row>
    <row r="619" ht="15.75" customHeight="1">
      <c r="R619" s="2"/>
      <c r="S619" s="2"/>
      <c r="T619" s="2"/>
      <c r="U619" s="2"/>
      <c r="V619" s="2"/>
      <c r="W619" s="2"/>
      <c r="X619" s="2"/>
    </row>
    <row r="620" ht="15.75" customHeight="1">
      <c r="R620" s="2"/>
      <c r="S620" s="2"/>
      <c r="T620" s="2"/>
      <c r="U620" s="2"/>
      <c r="V620" s="2"/>
      <c r="W620" s="2"/>
      <c r="X620" s="2"/>
    </row>
    <row r="621" ht="15.75" customHeight="1">
      <c r="R621" s="2"/>
      <c r="S621" s="2"/>
      <c r="T621" s="2"/>
      <c r="U621" s="2"/>
      <c r="V621" s="2"/>
      <c r="W621" s="2"/>
      <c r="X621" s="2"/>
    </row>
    <row r="622" ht="15.75" customHeight="1">
      <c r="R622" s="2"/>
      <c r="S622" s="2"/>
      <c r="T622" s="2"/>
      <c r="U622" s="2"/>
      <c r="V622" s="2"/>
      <c r="W622" s="2"/>
      <c r="X622" s="2"/>
    </row>
    <row r="623" ht="15.75" customHeight="1">
      <c r="R623" s="2"/>
      <c r="S623" s="2"/>
      <c r="T623" s="2"/>
      <c r="U623" s="2"/>
      <c r="V623" s="2"/>
      <c r="W623" s="2"/>
      <c r="X623" s="2"/>
    </row>
    <row r="624" ht="15.75" customHeight="1">
      <c r="R624" s="2"/>
      <c r="S624" s="2"/>
      <c r="T624" s="2"/>
      <c r="U624" s="2"/>
      <c r="V624" s="2"/>
      <c r="W624" s="2"/>
      <c r="X624" s="2"/>
    </row>
    <row r="625" ht="15.75" customHeight="1">
      <c r="R625" s="2"/>
      <c r="S625" s="2"/>
      <c r="T625" s="2"/>
      <c r="U625" s="2"/>
      <c r="V625" s="2"/>
      <c r="W625" s="2"/>
      <c r="X625" s="2"/>
    </row>
    <row r="626" ht="15.75" customHeight="1">
      <c r="R626" s="2"/>
      <c r="S626" s="2"/>
      <c r="T626" s="2"/>
      <c r="U626" s="2"/>
      <c r="V626" s="2"/>
      <c r="W626" s="2"/>
      <c r="X626" s="2"/>
    </row>
    <row r="627" ht="15.75" customHeight="1">
      <c r="R627" s="2"/>
      <c r="S627" s="2"/>
      <c r="T627" s="2"/>
      <c r="U627" s="2"/>
      <c r="V627" s="2"/>
      <c r="W627" s="2"/>
      <c r="X627" s="2"/>
    </row>
    <row r="628" ht="15.75" customHeight="1">
      <c r="R628" s="2"/>
      <c r="S628" s="2"/>
      <c r="T628" s="2"/>
      <c r="U628" s="2"/>
      <c r="V628" s="2"/>
      <c r="W628" s="2"/>
      <c r="X628" s="2"/>
    </row>
    <row r="629" ht="15.75" customHeight="1">
      <c r="R629" s="2"/>
      <c r="S629" s="2"/>
      <c r="T629" s="2"/>
      <c r="U629" s="2"/>
      <c r="V629" s="2"/>
      <c r="W629" s="2"/>
      <c r="X629" s="2"/>
    </row>
    <row r="630" ht="15.75" customHeight="1">
      <c r="R630" s="2"/>
      <c r="S630" s="2"/>
      <c r="T630" s="2"/>
      <c r="U630" s="2"/>
      <c r="V630" s="2"/>
      <c r="W630" s="2"/>
      <c r="X630" s="2"/>
    </row>
    <row r="631" ht="15.75" customHeight="1">
      <c r="R631" s="2"/>
      <c r="S631" s="2"/>
      <c r="T631" s="2"/>
      <c r="U631" s="2"/>
      <c r="V631" s="2"/>
      <c r="W631" s="2"/>
      <c r="X631" s="2"/>
    </row>
    <row r="632" ht="15.75" customHeight="1">
      <c r="R632" s="2"/>
      <c r="S632" s="2"/>
      <c r="T632" s="2"/>
      <c r="U632" s="2"/>
      <c r="V632" s="2"/>
      <c r="W632" s="2"/>
      <c r="X632" s="2"/>
    </row>
    <row r="633" ht="15.75" customHeight="1">
      <c r="R633" s="2"/>
      <c r="S633" s="2"/>
      <c r="T633" s="2"/>
      <c r="U633" s="2"/>
      <c r="V633" s="2"/>
      <c r="W633" s="2"/>
      <c r="X633" s="2"/>
    </row>
    <row r="634" ht="15.75" customHeight="1">
      <c r="R634" s="2"/>
      <c r="S634" s="2"/>
      <c r="T634" s="2"/>
      <c r="U634" s="2"/>
      <c r="V634" s="2"/>
      <c r="W634" s="2"/>
      <c r="X634" s="2"/>
    </row>
    <row r="635" ht="15.75" customHeight="1">
      <c r="R635" s="2"/>
      <c r="S635" s="2"/>
      <c r="T635" s="2"/>
      <c r="U635" s="2"/>
      <c r="V635" s="2"/>
      <c r="W635" s="2"/>
      <c r="X635" s="2"/>
    </row>
    <row r="636" ht="15.75" customHeight="1">
      <c r="R636" s="2"/>
      <c r="S636" s="2"/>
      <c r="T636" s="2"/>
      <c r="U636" s="2"/>
      <c r="V636" s="2"/>
      <c r="W636" s="2"/>
      <c r="X636" s="2"/>
    </row>
    <row r="637" ht="15.75" customHeight="1">
      <c r="R637" s="2"/>
      <c r="S637" s="2"/>
      <c r="T637" s="2"/>
      <c r="U637" s="2"/>
      <c r="V637" s="2"/>
      <c r="W637" s="2"/>
      <c r="X637" s="2"/>
    </row>
    <row r="638" ht="15.75" customHeight="1">
      <c r="R638" s="2"/>
      <c r="S638" s="2"/>
      <c r="T638" s="2"/>
      <c r="U638" s="2"/>
      <c r="V638" s="2"/>
      <c r="W638" s="2"/>
      <c r="X638" s="2"/>
    </row>
    <row r="639" ht="15.75" customHeight="1">
      <c r="R639" s="2"/>
      <c r="S639" s="2"/>
      <c r="T639" s="2"/>
      <c r="U639" s="2"/>
      <c r="V639" s="2"/>
      <c r="W639" s="2"/>
      <c r="X639" s="2"/>
    </row>
    <row r="640" ht="15.75" customHeight="1">
      <c r="R640" s="2"/>
      <c r="S640" s="2"/>
      <c r="T640" s="2"/>
      <c r="U640" s="2"/>
      <c r="V640" s="2"/>
      <c r="W640" s="2"/>
      <c r="X640" s="2"/>
    </row>
    <row r="641" ht="15.75" customHeight="1">
      <c r="R641" s="2"/>
      <c r="S641" s="2"/>
      <c r="T641" s="2"/>
      <c r="U641" s="2"/>
      <c r="V641" s="2"/>
      <c r="W641" s="2"/>
      <c r="X641" s="2"/>
    </row>
    <row r="642" ht="15.75" customHeight="1">
      <c r="R642" s="2"/>
      <c r="S642" s="2"/>
      <c r="T642" s="2"/>
      <c r="U642" s="2"/>
      <c r="V642" s="2"/>
      <c r="W642" s="2"/>
      <c r="X642" s="2"/>
    </row>
    <row r="643" ht="15.75" customHeight="1">
      <c r="R643" s="2"/>
      <c r="S643" s="2"/>
      <c r="T643" s="2"/>
      <c r="U643" s="2"/>
      <c r="V643" s="2"/>
      <c r="W643" s="2"/>
      <c r="X643" s="2"/>
    </row>
    <row r="644" ht="15.75" customHeight="1">
      <c r="R644" s="2"/>
      <c r="S644" s="2"/>
      <c r="T644" s="2"/>
      <c r="U644" s="2"/>
      <c r="V644" s="2"/>
      <c r="W644" s="2"/>
      <c r="X644" s="2"/>
    </row>
    <row r="645" ht="15.75" customHeight="1">
      <c r="R645" s="2"/>
      <c r="S645" s="2"/>
      <c r="T645" s="2"/>
      <c r="U645" s="2"/>
      <c r="V645" s="2"/>
      <c r="W645" s="2"/>
      <c r="X645" s="2"/>
    </row>
    <row r="646" ht="15.75" customHeight="1">
      <c r="R646" s="2"/>
      <c r="S646" s="2"/>
      <c r="T646" s="2"/>
      <c r="U646" s="2"/>
      <c r="V646" s="2"/>
      <c r="W646" s="2"/>
      <c r="X646" s="2"/>
    </row>
    <row r="647" ht="15.75" customHeight="1">
      <c r="R647" s="2"/>
      <c r="S647" s="2"/>
      <c r="T647" s="2"/>
      <c r="U647" s="2"/>
      <c r="V647" s="2"/>
      <c r="W647" s="2"/>
      <c r="X647" s="2"/>
    </row>
    <row r="648" ht="15.75" customHeight="1">
      <c r="R648" s="2"/>
      <c r="S648" s="2"/>
      <c r="T648" s="2"/>
      <c r="U648" s="2"/>
      <c r="V648" s="2"/>
      <c r="W648" s="2"/>
      <c r="X648" s="2"/>
    </row>
    <row r="649" ht="15.75" customHeight="1">
      <c r="R649" s="2"/>
      <c r="S649" s="2"/>
      <c r="T649" s="2"/>
      <c r="U649" s="2"/>
      <c r="V649" s="2"/>
      <c r="W649" s="2"/>
      <c r="X649" s="2"/>
    </row>
    <row r="650" ht="15.75" customHeight="1">
      <c r="R650" s="2"/>
      <c r="S650" s="2"/>
      <c r="T650" s="2"/>
      <c r="U650" s="2"/>
      <c r="V650" s="2"/>
      <c r="W650" s="2"/>
      <c r="X650" s="2"/>
    </row>
    <row r="651" ht="15.75" customHeight="1">
      <c r="R651" s="2"/>
      <c r="S651" s="2"/>
      <c r="T651" s="2"/>
      <c r="U651" s="2"/>
      <c r="V651" s="2"/>
      <c r="W651" s="2"/>
      <c r="X651" s="2"/>
    </row>
    <row r="652" ht="15.75" customHeight="1">
      <c r="R652" s="2"/>
      <c r="S652" s="2"/>
      <c r="T652" s="2"/>
      <c r="U652" s="2"/>
      <c r="V652" s="2"/>
      <c r="W652" s="2"/>
      <c r="X652" s="2"/>
    </row>
    <row r="653" ht="15.75" customHeight="1">
      <c r="R653" s="2"/>
      <c r="S653" s="2"/>
      <c r="T653" s="2"/>
      <c r="U653" s="2"/>
      <c r="V653" s="2"/>
      <c r="W653" s="2"/>
      <c r="X653" s="2"/>
    </row>
    <row r="654" ht="15.75" customHeight="1">
      <c r="R654" s="2"/>
      <c r="S654" s="2"/>
      <c r="T654" s="2"/>
      <c r="U654" s="2"/>
      <c r="V654" s="2"/>
      <c r="W654" s="2"/>
      <c r="X654" s="2"/>
    </row>
    <row r="655" ht="15.75" customHeight="1">
      <c r="R655" s="2"/>
      <c r="S655" s="2"/>
      <c r="T655" s="2"/>
      <c r="U655" s="2"/>
      <c r="V655" s="2"/>
      <c r="W655" s="2"/>
      <c r="X655" s="2"/>
    </row>
    <row r="656" ht="15.75" customHeight="1">
      <c r="R656" s="2"/>
      <c r="S656" s="2"/>
      <c r="T656" s="2"/>
      <c r="U656" s="2"/>
      <c r="V656" s="2"/>
      <c r="W656" s="2"/>
      <c r="X656" s="2"/>
    </row>
    <row r="657" ht="15.75" customHeight="1">
      <c r="R657" s="2"/>
      <c r="S657" s="2"/>
      <c r="T657" s="2"/>
      <c r="U657" s="2"/>
      <c r="V657" s="2"/>
      <c r="W657" s="2"/>
      <c r="X657" s="2"/>
    </row>
    <row r="658" ht="15.75" customHeight="1">
      <c r="R658" s="2"/>
      <c r="S658" s="2"/>
      <c r="T658" s="2"/>
      <c r="U658" s="2"/>
      <c r="V658" s="2"/>
      <c r="W658" s="2"/>
      <c r="X658" s="2"/>
    </row>
    <row r="659" ht="15.75" customHeight="1">
      <c r="R659" s="2"/>
      <c r="S659" s="2"/>
      <c r="T659" s="2"/>
      <c r="U659" s="2"/>
      <c r="V659" s="2"/>
      <c r="W659" s="2"/>
      <c r="X659" s="2"/>
    </row>
    <row r="660" ht="15.75" customHeight="1">
      <c r="R660" s="2"/>
      <c r="S660" s="2"/>
      <c r="T660" s="2"/>
      <c r="U660" s="2"/>
      <c r="V660" s="2"/>
      <c r="W660" s="2"/>
      <c r="X660" s="2"/>
    </row>
    <row r="661" ht="15.75" customHeight="1">
      <c r="R661" s="2"/>
      <c r="S661" s="2"/>
      <c r="T661" s="2"/>
      <c r="U661" s="2"/>
      <c r="V661" s="2"/>
      <c r="W661" s="2"/>
      <c r="X661" s="2"/>
    </row>
    <row r="662" ht="15.75" customHeight="1">
      <c r="R662" s="2"/>
      <c r="S662" s="2"/>
      <c r="T662" s="2"/>
      <c r="U662" s="2"/>
      <c r="V662" s="2"/>
      <c r="W662" s="2"/>
      <c r="X662" s="2"/>
    </row>
    <row r="663" ht="15.75" customHeight="1">
      <c r="R663" s="2"/>
      <c r="S663" s="2"/>
      <c r="T663" s="2"/>
      <c r="U663" s="2"/>
      <c r="V663" s="2"/>
      <c r="W663" s="2"/>
      <c r="X663" s="2"/>
    </row>
    <row r="664" ht="15.75" customHeight="1">
      <c r="R664" s="2"/>
      <c r="S664" s="2"/>
      <c r="T664" s="2"/>
      <c r="U664" s="2"/>
      <c r="V664" s="2"/>
      <c r="W664" s="2"/>
      <c r="X664" s="2"/>
    </row>
    <row r="665" ht="15.75" customHeight="1">
      <c r="R665" s="2"/>
      <c r="S665" s="2"/>
      <c r="T665" s="2"/>
      <c r="U665" s="2"/>
      <c r="V665" s="2"/>
      <c r="W665" s="2"/>
      <c r="X665" s="2"/>
    </row>
    <row r="666" ht="15.75" customHeight="1">
      <c r="R666" s="2"/>
      <c r="S666" s="2"/>
      <c r="T666" s="2"/>
      <c r="U666" s="2"/>
      <c r="V666" s="2"/>
      <c r="W666" s="2"/>
      <c r="X666" s="2"/>
    </row>
    <row r="667" ht="15.75" customHeight="1">
      <c r="R667" s="2"/>
      <c r="S667" s="2"/>
      <c r="T667" s="2"/>
      <c r="U667" s="2"/>
      <c r="V667" s="2"/>
      <c r="W667" s="2"/>
      <c r="X667" s="2"/>
    </row>
    <row r="668" ht="15.75" customHeight="1">
      <c r="R668" s="2"/>
      <c r="S668" s="2"/>
      <c r="T668" s="2"/>
      <c r="U668" s="2"/>
      <c r="V668" s="2"/>
      <c r="W668" s="2"/>
      <c r="X668" s="2"/>
    </row>
    <row r="669" ht="15.75" customHeight="1">
      <c r="R669" s="2"/>
      <c r="S669" s="2"/>
      <c r="T669" s="2"/>
      <c r="U669" s="2"/>
      <c r="V669" s="2"/>
      <c r="W669" s="2"/>
      <c r="X669" s="2"/>
    </row>
    <row r="670" ht="15.75" customHeight="1">
      <c r="R670" s="2"/>
      <c r="S670" s="2"/>
      <c r="T670" s="2"/>
      <c r="U670" s="2"/>
      <c r="V670" s="2"/>
      <c r="W670" s="2"/>
      <c r="X670" s="2"/>
    </row>
    <row r="671" ht="15.75" customHeight="1">
      <c r="R671" s="2"/>
      <c r="S671" s="2"/>
      <c r="T671" s="2"/>
      <c r="U671" s="2"/>
      <c r="V671" s="2"/>
      <c r="W671" s="2"/>
      <c r="X671" s="2"/>
    </row>
    <row r="672" ht="15.75" customHeight="1">
      <c r="R672" s="2"/>
      <c r="S672" s="2"/>
      <c r="T672" s="2"/>
      <c r="U672" s="2"/>
      <c r="V672" s="2"/>
      <c r="W672" s="2"/>
      <c r="X672" s="2"/>
    </row>
    <row r="673" ht="15.75" customHeight="1">
      <c r="R673" s="2"/>
      <c r="S673" s="2"/>
      <c r="T673" s="2"/>
      <c r="U673" s="2"/>
      <c r="V673" s="2"/>
      <c r="W673" s="2"/>
      <c r="X673" s="2"/>
    </row>
    <row r="674" ht="15.75" customHeight="1">
      <c r="R674" s="2"/>
      <c r="S674" s="2"/>
      <c r="T674" s="2"/>
      <c r="U674" s="2"/>
      <c r="V674" s="2"/>
      <c r="W674" s="2"/>
      <c r="X674" s="2"/>
    </row>
    <row r="675" ht="15.75" customHeight="1">
      <c r="R675" s="2"/>
      <c r="S675" s="2"/>
      <c r="T675" s="2"/>
      <c r="U675" s="2"/>
      <c r="V675" s="2"/>
      <c r="W675" s="2"/>
      <c r="X675" s="2"/>
    </row>
    <row r="676" ht="15.75" customHeight="1">
      <c r="R676" s="2"/>
      <c r="S676" s="2"/>
      <c r="T676" s="2"/>
      <c r="U676" s="2"/>
      <c r="V676" s="2"/>
      <c r="W676" s="2"/>
      <c r="X676" s="2"/>
    </row>
    <row r="677" ht="15.75" customHeight="1">
      <c r="R677" s="2"/>
      <c r="S677" s="2"/>
      <c r="T677" s="2"/>
      <c r="U677" s="2"/>
      <c r="V677" s="2"/>
      <c r="W677" s="2"/>
      <c r="X677" s="2"/>
    </row>
    <row r="678" ht="15.75" customHeight="1">
      <c r="R678" s="2"/>
      <c r="S678" s="2"/>
      <c r="T678" s="2"/>
      <c r="U678" s="2"/>
      <c r="V678" s="2"/>
      <c r="W678" s="2"/>
      <c r="X678" s="2"/>
    </row>
    <row r="679" ht="15.75" customHeight="1">
      <c r="R679" s="2"/>
      <c r="S679" s="2"/>
      <c r="T679" s="2"/>
      <c r="U679" s="2"/>
      <c r="V679" s="2"/>
      <c r="W679" s="2"/>
      <c r="X679" s="2"/>
    </row>
    <row r="680" ht="15.75" customHeight="1">
      <c r="R680" s="2"/>
      <c r="S680" s="2"/>
      <c r="T680" s="2"/>
      <c r="U680" s="2"/>
      <c r="V680" s="2"/>
      <c r="W680" s="2"/>
      <c r="X680" s="2"/>
    </row>
    <row r="681" ht="15.75" customHeight="1">
      <c r="R681" s="2"/>
      <c r="S681" s="2"/>
      <c r="T681" s="2"/>
      <c r="U681" s="2"/>
      <c r="V681" s="2"/>
      <c r="W681" s="2"/>
      <c r="X681" s="2"/>
    </row>
    <row r="682" ht="15.75" customHeight="1">
      <c r="R682" s="2"/>
      <c r="S682" s="2"/>
      <c r="T682" s="2"/>
      <c r="U682" s="2"/>
      <c r="V682" s="2"/>
      <c r="W682" s="2"/>
      <c r="X682" s="2"/>
    </row>
    <row r="683" ht="15.75" customHeight="1">
      <c r="R683" s="2"/>
      <c r="S683" s="2"/>
      <c r="T683" s="2"/>
      <c r="U683" s="2"/>
      <c r="V683" s="2"/>
      <c r="W683" s="2"/>
      <c r="X683" s="2"/>
    </row>
    <row r="684" ht="15.75" customHeight="1">
      <c r="R684" s="2"/>
      <c r="S684" s="2"/>
      <c r="T684" s="2"/>
      <c r="U684" s="2"/>
      <c r="V684" s="2"/>
      <c r="W684" s="2"/>
      <c r="X684" s="2"/>
    </row>
    <row r="685" ht="15.75" customHeight="1">
      <c r="R685" s="2"/>
      <c r="S685" s="2"/>
      <c r="T685" s="2"/>
      <c r="U685" s="2"/>
      <c r="V685" s="2"/>
      <c r="W685" s="2"/>
      <c r="X685" s="2"/>
    </row>
    <row r="686" ht="15.75" customHeight="1">
      <c r="R686" s="2"/>
      <c r="S686" s="2"/>
      <c r="T686" s="2"/>
      <c r="U686" s="2"/>
      <c r="V686" s="2"/>
      <c r="W686" s="2"/>
      <c r="X686" s="2"/>
    </row>
    <row r="687" ht="15.75" customHeight="1">
      <c r="R687" s="2"/>
      <c r="S687" s="2"/>
      <c r="T687" s="2"/>
      <c r="U687" s="2"/>
      <c r="V687" s="2"/>
      <c r="W687" s="2"/>
      <c r="X687" s="2"/>
    </row>
    <row r="688" ht="15.75" customHeight="1">
      <c r="R688" s="2"/>
      <c r="S688" s="2"/>
      <c r="T688" s="2"/>
      <c r="U688" s="2"/>
      <c r="V688" s="2"/>
      <c r="W688" s="2"/>
      <c r="X688" s="2"/>
    </row>
    <row r="689" ht="15.75" customHeight="1">
      <c r="R689" s="2"/>
      <c r="S689" s="2"/>
      <c r="T689" s="2"/>
      <c r="U689" s="2"/>
      <c r="V689" s="2"/>
      <c r="W689" s="2"/>
      <c r="X689" s="2"/>
    </row>
    <row r="690" ht="15.75" customHeight="1">
      <c r="R690" s="2"/>
      <c r="S690" s="2"/>
      <c r="T690" s="2"/>
      <c r="U690" s="2"/>
      <c r="V690" s="2"/>
      <c r="W690" s="2"/>
      <c r="X690" s="2"/>
    </row>
    <row r="691" ht="15.75" customHeight="1">
      <c r="R691" s="2"/>
      <c r="S691" s="2"/>
      <c r="T691" s="2"/>
      <c r="U691" s="2"/>
      <c r="V691" s="2"/>
      <c r="W691" s="2"/>
      <c r="X691" s="2"/>
    </row>
    <row r="692" ht="15.75" customHeight="1">
      <c r="R692" s="2"/>
      <c r="S692" s="2"/>
      <c r="T692" s="2"/>
      <c r="U692" s="2"/>
      <c r="V692" s="2"/>
      <c r="W692" s="2"/>
      <c r="X692" s="2"/>
    </row>
    <row r="693" ht="15.75" customHeight="1">
      <c r="R693" s="2"/>
      <c r="S693" s="2"/>
      <c r="T693" s="2"/>
      <c r="U693" s="2"/>
      <c r="V693" s="2"/>
      <c r="W693" s="2"/>
      <c r="X693" s="2"/>
    </row>
    <row r="694" ht="15.75" customHeight="1">
      <c r="R694" s="2"/>
      <c r="S694" s="2"/>
      <c r="T694" s="2"/>
      <c r="U694" s="2"/>
      <c r="V694" s="2"/>
      <c r="W694" s="2"/>
      <c r="X694" s="2"/>
    </row>
    <row r="695" ht="15.75" customHeight="1">
      <c r="R695" s="2"/>
      <c r="S695" s="2"/>
      <c r="T695" s="2"/>
      <c r="U695" s="2"/>
      <c r="V695" s="2"/>
      <c r="W695" s="2"/>
      <c r="X695" s="2"/>
    </row>
    <row r="696" ht="15.75" customHeight="1">
      <c r="R696" s="2"/>
      <c r="S696" s="2"/>
      <c r="T696" s="2"/>
      <c r="U696" s="2"/>
      <c r="V696" s="2"/>
      <c r="W696" s="2"/>
      <c r="X696" s="2"/>
    </row>
    <row r="697" ht="15.75" customHeight="1">
      <c r="R697" s="2"/>
      <c r="S697" s="2"/>
      <c r="T697" s="2"/>
      <c r="U697" s="2"/>
      <c r="V697" s="2"/>
      <c r="W697" s="2"/>
      <c r="X697" s="2"/>
    </row>
    <row r="698" ht="15.75" customHeight="1">
      <c r="R698" s="2"/>
      <c r="S698" s="2"/>
      <c r="T698" s="2"/>
      <c r="U698" s="2"/>
      <c r="V698" s="2"/>
      <c r="W698" s="2"/>
      <c r="X698" s="2"/>
    </row>
    <row r="699" ht="15.75" customHeight="1">
      <c r="R699" s="2"/>
      <c r="S699" s="2"/>
      <c r="T699" s="2"/>
      <c r="U699" s="2"/>
      <c r="V699" s="2"/>
      <c r="W699" s="2"/>
      <c r="X699" s="2"/>
    </row>
    <row r="700" ht="15.75" customHeight="1">
      <c r="R700" s="2"/>
      <c r="S700" s="2"/>
      <c r="T700" s="2"/>
      <c r="U700" s="2"/>
      <c r="V700" s="2"/>
      <c r="W700" s="2"/>
      <c r="X700" s="2"/>
    </row>
    <row r="701" ht="15.75" customHeight="1">
      <c r="R701" s="2"/>
      <c r="S701" s="2"/>
      <c r="T701" s="2"/>
      <c r="U701" s="2"/>
      <c r="V701" s="2"/>
      <c r="W701" s="2"/>
      <c r="X701" s="2"/>
    </row>
    <row r="702" ht="15.75" customHeight="1">
      <c r="R702" s="2"/>
      <c r="S702" s="2"/>
      <c r="T702" s="2"/>
      <c r="U702" s="2"/>
      <c r="V702" s="2"/>
      <c r="W702" s="2"/>
      <c r="X702" s="2"/>
    </row>
    <row r="703" ht="15.75" customHeight="1">
      <c r="R703" s="2"/>
      <c r="S703" s="2"/>
      <c r="T703" s="2"/>
      <c r="U703" s="2"/>
      <c r="V703" s="2"/>
      <c r="W703" s="2"/>
      <c r="X703" s="2"/>
    </row>
    <row r="704" ht="15.75" customHeight="1">
      <c r="R704" s="2"/>
      <c r="S704" s="2"/>
      <c r="T704" s="2"/>
      <c r="U704" s="2"/>
      <c r="V704" s="2"/>
      <c r="W704" s="2"/>
      <c r="X704" s="2"/>
    </row>
    <row r="705" ht="15.75" customHeight="1">
      <c r="R705" s="2"/>
      <c r="S705" s="2"/>
      <c r="T705" s="2"/>
      <c r="U705" s="2"/>
      <c r="V705" s="2"/>
      <c r="W705" s="2"/>
      <c r="X705" s="2"/>
    </row>
    <row r="706" ht="15.75" customHeight="1">
      <c r="R706" s="2"/>
      <c r="S706" s="2"/>
      <c r="T706" s="2"/>
      <c r="U706" s="2"/>
      <c r="V706" s="2"/>
      <c r="W706" s="2"/>
      <c r="X706" s="2"/>
    </row>
    <row r="707" ht="15.75" customHeight="1">
      <c r="R707" s="2"/>
      <c r="S707" s="2"/>
      <c r="T707" s="2"/>
      <c r="U707" s="2"/>
      <c r="V707" s="2"/>
      <c r="W707" s="2"/>
      <c r="X707" s="2"/>
    </row>
    <row r="708" ht="15.75" customHeight="1">
      <c r="R708" s="2"/>
      <c r="S708" s="2"/>
      <c r="T708" s="2"/>
      <c r="U708" s="2"/>
      <c r="V708" s="2"/>
      <c r="W708" s="2"/>
      <c r="X708" s="2"/>
    </row>
    <row r="709" ht="15.75" customHeight="1">
      <c r="R709" s="2"/>
      <c r="S709" s="2"/>
      <c r="T709" s="2"/>
      <c r="U709" s="2"/>
      <c r="V709" s="2"/>
      <c r="W709" s="2"/>
      <c r="X709" s="2"/>
    </row>
    <row r="710" ht="15.75" customHeight="1">
      <c r="R710" s="2"/>
      <c r="S710" s="2"/>
      <c r="T710" s="2"/>
      <c r="U710" s="2"/>
      <c r="V710" s="2"/>
      <c r="W710" s="2"/>
      <c r="X710" s="2"/>
    </row>
    <row r="711" ht="15.75" customHeight="1">
      <c r="R711" s="2"/>
      <c r="S711" s="2"/>
      <c r="T711" s="2"/>
      <c r="U711" s="2"/>
      <c r="V711" s="2"/>
      <c r="W711" s="2"/>
      <c r="X711" s="2"/>
    </row>
    <row r="712" ht="15.75" customHeight="1">
      <c r="R712" s="2"/>
      <c r="S712" s="2"/>
      <c r="T712" s="2"/>
      <c r="U712" s="2"/>
      <c r="V712" s="2"/>
      <c r="W712" s="2"/>
      <c r="X712" s="2"/>
    </row>
    <row r="713" ht="15.75" customHeight="1">
      <c r="R713" s="2"/>
      <c r="S713" s="2"/>
      <c r="T713" s="2"/>
      <c r="U713" s="2"/>
      <c r="V713" s="2"/>
      <c r="W713" s="2"/>
      <c r="X713" s="2"/>
    </row>
    <row r="714" ht="15.75" customHeight="1">
      <c r="R714" s="2"/>
      <c r="S714" s="2"/>
      <c r="T714" s="2"/>
      <c r="U714" s="2"/>
      <c r="V714" s="2"/>
      <c r="W714" s="2"/>
      <c r="X714" s="2"/>
    </row>
    <row r="715" ht="15.75" customHeight="1">
      <c r="R715" s="2"/>
      <c r="S715" s="2"/>
      <c r="T715" s="2"/>
      <c r="U715" s="2"/>
      <c r="V715" s="2"/>
      <c r="W715" s="2"/>
      <c r="X715" s="2"/>
    </row>
    <row r="716" ht="15.75" customHeight="1">
      <c r="R716" s="2"/>
      <c r="S716" s="2"/>
      <c r="T716" s="2"/>
      <c r="U716" s="2"/>
      <c r="V716" s="2"/>
      <c r="W716" s="2"/>
      <c r="X716" s="2"/>
    </row>
    <row r="717" ht="15.75" customHeight="1">
      <c r="R717" s="2"/>
      <c r="S717" s="2"/>
      <c r="T717" s="2"/>
      <c r="U717" s="2"/>
      <c r="V717" s="2"/>
      <c r="W717" s="2"/>
      <c r="X717" s="2"/>
    </row>
    <row r="718" ht="15.75" customHeight="1">
      <c r="R718" s="2"/>
      <c r="S718" s="2"/>
      <c r="T718" s="2"/>
      <c r="U718" s="2"/>
      <c r="V718" s="2"/>
      <c r="W718" s="2"/>
      <c r="X718" s="2"/>
    </row>
    <row r="719" ht="15.75" customHeight="1">
      <c r="R719" s="2"/>
      <c r="S719" s="2"/>
      <c r="T719" s="2"/>
      <c r="U719" s="2"/>
      <c r="V719" s="2"/>
      <c r="W719" s="2"/>
      <c r="X719" s="2"/>
    </row>
    <row r="720" ht="15.75" customHeight="1">
      <c r="R720" s="2"/>
      <c r="S720" s="2"/>
      <c r="T720" s="2"/>
      <c r="U720" s="2"/>
      <c r="V720" s="2"/>
      <c r="W720" s="2"/>
      <c r="X720" s="2"/>
    </row>
    <row r="721" ht="15.75" customHeight="1">
      <c r="R721" s="2"/>
      <c r="S721" s="2"/>
      <c r="T721" s="2"/>
      <c r="U721" s="2"/>
      <c r="V721" s="2"/>
      <c r="W721" s="2"/>
      <c r="X721" s="2"/>
    </row>
    <row r="722" ht="15.75" customHeight="1">
      <c r="R722" s="2"/>
      <c r="S722" s="2"/>
      <c r="T722" s="2"/>
      <c r="U722" s="2"/>
      <c r="V722" s="2"/>
      <c r="W722" s="2"/>
      <c r="X722" s="2"/>
    </row>
    <row r="723" ht="15.75" customHeight="1">
      <c r="R723" s="2"/>
      <c r="S723" s="2"/>
      <c r="T723" s="2"/>
      <c r="U723" s="2"/>
      <c r="V723" s="2"/>
      <c r="W723" s="2"/>
      <c r="X723" s="2"/>
    </row>
    <row r="724" ht="15.75" customHeight="1">
      <c r="R724" s="2"/>
      <c r="S724" s="2"/>
      <c r="T724" s="2"/>
      <c r="U724" s="2"/>
      <c r="V724" s="2"/>
      <c r="W724" s="2"/>
      <c r="X724" s="2"/>
    </row>
    <row r="725" ht="15.75" customHeight="1">
      <c r="R725" s="2"/>
      <c r="S725" s="2"/>
      <c r="T725" s="2"/>
      <c r="U725" s="2"/>
      <c r="V725" s="2"/>
      <c r="W725" s="2"/>
      <c r="X725" s="2"/>
    </row>
    <row r="726" ht="15.75" customHeight="1">
      <c r="R726" s="2"/>
      <c r="S726" s="2"/>
      <c r="T726" s="2"/>
      <c r="U726" s="2"/>
      <c r="V726" s="2"/>
      <c r="W726" s="2"/>
      <c r="X726" s="2"/>
    </row>
    <row r="727" ht="15.75" customHeight="1">
      <c r="R727" s="2"/>
      <c r="S727" s="2"/>
      <c r="T727" s="2"/>
      <c r="U727" s="2"/>
      <c r="V727" s="2"/>
      <c r="W727" s="2"/>
      <c r="X727" s="2"/>
    </row>
    <row r="728" ht="15.75" customHeight="1">
      <c r="R728" s="2"/>
      <c r="S728" s="2"/>
      <c r="T728" s="2"/>
      <c r="U728" s="2"/>
      <c r="V728" s="2"/>
      <c r="W728" s="2"/>
      <c r="X728" s="2"/>
    </row>
    <row r="729" ht="15.75" customHeight="1">
      <c r="R729" s="2"/>
      <c r="S729" s="2"/>
      <c r="T729" s="2"/>
      <c r="U729" s="2"/>
      <c r="V729" s="2"/>
      <c r="W729" s="2"/>
      <c r="X729" s="2"/>
    </row>
    <row r="730" ht="15.75" customHeight="1">
      <c r="R730" s="2"/>
      <c r="S730" s="2"/>
      <c r="T730" s="2"/>
      <c r="U730" s="2"/>
      <c r="V730" s="2"/>
      <c r="W730" s="2"/>
      <c r="X730" s="2"/>
    </row>
    <row r="731" ht="15.75" customHeight="1">
      <c r="R731" s="2"/>
      <c r="S731" s="2"/>
      <c r="T731" s="2"/>
      <c r="U731" s="2"/>
      <c r="V731" s="2"/>
      <c r="W731" s="2"/>
      <c r="X731" s="2"/>
    </row>
    <row r="732" ht="15.75" customHeight="1">
      <c r="R732" s="2"/>
      <c r="S732" s="2"/>
      <c r="T732" s="2"/>
      <c r="U732" s="2"/>
      <c r="V732" s="2"/>
      <c r="W732" s="2"/>
      <c r="X732" s="2"/>
    </row>
    <row r="733" ht="15.75" customHeight="1">
      <c r="R733" s="2"/>
      <c r="S733" s="2"/>
      <c r="T733" s="2"/>
      <c r="U733" s="2"/>
      <c r="V733" s="2"/>
      <c r="W733" s="2"/>
      <c r="X733" s="2"/>
    </row>
    <row r="734" ht="15.75" customHeight="1">
      <c r="R734" s="2"/>
      <c r="S734" s="2"/>
      <c r="T734" s="2"/>
      <c r="U734" s="2"/>
      <c r="V734" s="2"/>
      <c r="W734" s="2"/>
      <c r="X734" s="2"/>
    </row>
    <row r="735" ht="15.75" customHeight="1">
      <c r="R735" s="2"/>
      <c r="S735" s="2"/>
      <c r="T735" s="2"/>
      <c r="U735" s="2"/>
      <c r="V735" s="2"/>
      <c r="W735" s="2"/>
      <c r="X735" s="2"/>
    </row>
    <row r="736" ht="15.75" customHeight="1">
      <c r="R736" s="2"/>
      <c r="S736" s="2"/>
      <c r="T736" s="2"/>
      <c r="U736" s="2"/>
      <c r="V736" s="2"/>
      <c r="W736" s="2"/>
      <c r="X736" s="2"/>
    </row>
    <row r="737" ht="15.75" customHeight="1">
      <c r="R737" s="2"/>
      <c r="S737" s="2"/>
      <c r="T737" s="2"/>
      <c r="U737" s="2"/>
      <c r="V737" s="2"/>
      <c r="W737" s="2"/>
      <c r="X737" s="2"/>
    </row>
    <row r="738" ht="15.75" customHeight="1">
      <c r="R738" s="2"/>
      <c r="S738" s="2"/>
      <c r="T738" s="2"/>
      <c r="U738" s="2"/>
      <c r="V738" s="2"/>
      <c r="W738" s="2"/>
      <c r="X738" s="2"/>
    </row>
    <row r="739" ht="15.75" customHeight="1">
      <c r="R739" s="2"/>
      <c r="S739" s="2"/>
      <c r="T739" s="2"/>
      <c r="U739" s="2"/>
      <c r="V739" s="2"/>
      <c r="W739" s="2"/>
      <c r="X739" s="2"/>
    </row>
    <row r="740" ht="15.75" customHeight="1">
      <c r="R740" s="2"/>
      <c r="S740" s="2"/>
      <c r="T740" s="2"/>
      <c r="U740" s="2"/>
      <c r="V740" s="2"/>
      <c r="W740" s="2"/>
      <c r="X740" s="2"/>
    </row>
    <row r="741" ht="15.75" customHeight="1">
      <c r="R741" s="2"/>
      <c r="S741" s="2"/>
      <c r="T741" s="2"/>
      <c r="U741" s="2"/>
      <c r="V741" s="2"/>
      <c r="W741" s="2"/>
      <c r="X741" s="2"/>
    </row>
    <row r="742" ht="15.75" customHeight="1">
      <c r="R742" s="2"/>
      <c r="S742" s="2"/>
      <c r="T742" s="2"/>
      <c r="U742" s="2"/>
      <c r="V742" s="2"/>
      <c r="W742" s="2"/>
      <c r="X742" s="2"/>
    </row>
    <row r="743" ht="15.75" customHeight="1">
      <c r="R743" s="2"/>
      <c r="S743" s="2"/>
      <c r="T743" s="2"/>
      <c r="U743" s="2"/>
      <c r="V743" s="2"/>
      <c r="W743" s="2"/>
      <c r="X743" s="2"/>
    </row>
    <row r="744" ht="15.75" customHeight="1">
      <c r="R744" s="2"/>
      <c r="S744" s="2"/>
      <c r="T744" s="2"/>
      <c r="U744" s="2"/>
      <c r="V744" s="2"/>
      <c r="W744" s="2"/>
      <c r="X744" s="2"/>
    </row>
    <row r="745" ht="15.75" customHeight="1">
      <c r="R745" s="2"/>
      <c r="S745" s="2"/>
      <c r="T745" s="2"/>
      <c r="U745" s="2"/>
      <c r="V745" s="2"/>
      <c r="W745" s="2"/>
      <c r="X745" s="2"/>
    </row>
    <row r="746" ht="15.75" customHeight="1">
      <c r="R746" s="2"/>
      <c r="S746" s="2"/>
      <c r="T746" s="2"/>
      <c r="U746" s="2"/>
      <c r="V746" s="2"/>
      <c r="W746" s="2"/>
      <c r="X746" s="2"/>
    </row>
    <row r="747" ht="15.75" customHeight="1">
      <c r="R747" s="2"/>
      <c r="S747" s="2"/>
      <c r="T747" s="2"/>
      <c r="U747" s="2"/>
      <c r="V747" s="2"/>
      <c r="W747" s="2"/>
      <c r="X747" s="2"/>
    </row>
    <row r="748" ht="15.75" customHeight="1">
      <c r="R748" s="2"/>
      <c r="S748" s="2"/>
      <c r="T748" s="2"/>
      <c r="U748" s="2"/>
      <c r="V748" s="2"/>
      <c r="W748" s="2"/>
      <c r="X748" s="2"/>
    </row>
    <row r="749" ht="15.75" customHeight="1">
      <c r="R749" s="2"/>
      <c r="S749" s="2"/>
      <c r="T749" s="2"/>
      <c r="U749" s="2"/>
      <c r="V749" s="2"/>
      <c r="W749" s="2"/>
      <c r="X749" s="2"/>
    </row>
    <row r="750" ht="15.75" customHeight="1">
      <c r="R750" s="2"/>
      <c r="S750" s="2"/>
      <c r="T750" s="2"/>
      <c r="U750" s="2"/>
      <c r="V750" s="2"/>
      <c r="W750" s="2"/>
      <c r="X750" s="2"/>
    </row>
    <row r="751" ht="15.75" customHeight="1">
      <c r="R751" s="2"/>
      <c r="S751" s="2"/>
      <c r="T751" s="2"/>
      <c r="U751" s="2"/>
      <c r="V751" s="2"/>
      <c r="W751" s="2"/>
      <c r="X751" s="2"/>
    </row>
    <row r="752" ht="15.75" customHeight="1">
      <c r="R752" s="2"/>
      <c r="S752" s="2"/>
      <c r="T752" s="2"/>
      <c r="U752" s="2"/>
      <c r="V752" s="2"/>
      <c r="W752" s="2"/>
      <c r="X752" s="2"/>
    </row>
    <row r="753" ht="15.75" customHeight="1">
      <c r="R753" s="2"/>
      <c r="S753" s="2"/>
      <c r="T753" s="2"/>
      <c r="U753" s="2"/>
      <c r="V753" s="2"/>
      <c r="W753" s="2"/>
      <c r="X753" s="2"/>
    </row>
    <row r="754" ht="15.75" customHeight="1">
      <c r="R754" s="2"/>
      <c r="S754" s="2"/>
      <c r="T754" s="2"/>
      <c r="U754" s="2"/>
      <c r="V754" s="2"/>
      <c r="W754" s="2"/>
      <c r="X754" s="2"/>
    </row>
    <row r="755" ht="15.75" customHeight="1">
      <c r="R755" s="2"/>
      <c r="S755" s="2"/>
      <c r="T755" s="2"/>
      <c r="U755" s="2"/>
      <c r="V755" s="2"/>
      <c r="W755" s="2"/>
      <c r="X755" s="2"/>
    </row>
    <row r="756" ht="15.75" customHeight="1">
      <c r="R756" s="2"/>
      <c r="S756" s="2"/>
      <c r="T756" s="2"/>
      <c r="U756" s="2"/>
      <c r="V756" s="2"/>
      <c r="W756" s="2"/>
      <c r="X756" s="2"/>
    </row>
    <row r="757" ht="15.75" customHeight="1">
      <c r="R757" s="2"/>
      <c r="S757" s="2"/>
      <c r="T757" s="2"/>
      <c r="U757" s="2"/>
      <c r="V757" s="2"/>
      <c r="W757" s="2"/>
      <c r="X757" s="2"/>
    </row>
    <row r="758" ht="15.75" customHeight="1">
      <c r="R758" s="2"/>
      <c r="S758" s="2"/>
      <c r="T758" s="2"/>
      <c r="U758" s="2"/>
      <c r="V758" s="2"/>
      <c r="W758" s="2"/>
      <c r="X758" s="2"/>
    </row>
    <row r="759" ht="15.75" customHeight="1">
      <c r="R759" s="2"/>
      <c r="S759" s="2"/>
      <c r="T759" s="2"/>
      <c r="U759" s="2"/>
      <c r="V759" s="2"/>
      <c r="W759" s="2"/>
      <c r="X759" s="2"/>
    </row>
    <row r="760" ht="15.75" customHeight="1">
      <c r="R760" s="2"/>
      <c r="S760" s="2"/>
      <c r="T760" s="2"/>
      <c r="U760" s="2"/>
      <c r="V760" s="2"/>
      <c r="W760" s="2"/>
      <c r="X760" s="2"/>
    </row>
    <row r="761" ht="15.75" customHeight="1">
      <c r="R761" s="2"/>
      <c r="S761" s="2"/>
      <c r="T761" s="2"/>
      <c r="U761" s="2"/>
      <c r="V761" s="2"/>
      <c r="W761" s="2"/>
      <c r="X761" s="2"/>
    </row>
    <row r="762" ht="15.75" customHeight="1">
      <c r="R762" s="2"/>
      <c r="S762" s="2"/>
      <c r="T762" s="2"/>
      <c r="U762" s="2"/>
      <c r="V762" s="2"/>
      <c r="W762" s="2"/>
      <c r="X762" s="2"/>
    </row>
    <row r="763" ht="15.75" customHeight="1">
      <c r="R763" s="2"/>
      <c r="S763" s="2"/>
      <c r="T763" s="2"/>
      <c r="U763" s="2"/>
      <c r="V763" s="2"/>
      <c r="W763" s="2"/>
      <c r="X763" s="2"/>
    </row>
    <row r="764" ht="15.75" customHeight="1">
      <c r="R764" s="2"/>
      <c r="S764" s="2"/>
      <c r="T764" s="2"/>
      <c r="U764" s="2"/>
      <c r="V764" s="2"/>
      <c r="W764" s="2"/>
      <c r="X764" s="2"/>
    </row>
    <row r="765" ht="15.75" customHeight="1">
      <c r="R765" s="2"/>
      <c r="S765" s="2"/>
      <c r="T765" s="2"/>
      <c r="U765" s="2"/>
      <c r="V765" s="2"/>
      <c r="W765" s="2"/>
      <c r="X765" s="2"/>
    </row>
    <row r="766" ht="15.75" customHeight="1">
      <c r="R766" s="2"/>
      <c r="S766" s="2"/>
      <c r="T766" s="2"/>
      <c r="U766" s="2"/>
      <c r="V766" s="2"/>
      <c r="W766" s="2"/>
      <c r="X766" s="2"/>
    </row>
    <row r="767" ht="15.75" customHeight="1">
      <c r="R767" s="2"/>
      <c r="S767" s="2"/>
      <c r="T767" s="2"/>
      <c r="U767" s="2"/>
      <c r="V767" s="2"/>
      <c r="W767" s="2"/>
      <c r="X767" s="2"/>
    </row>
    <row r="768" ht="15.75" customHeight="1">
      <c r="R768" s="2"/>
      <c r="S768" s="2"/>
      <c r="T768" s="2"/>
      <c r="U768" s="2"/>
      <c r="V768" s="2"/>
      <c r="W768" s="2"/>
      <c r="X768" s="2"/>
    </row>
    <row r="769" ht="15.75" customHeight="1">
      <c r="R769" s="2"/>
      <c r="S769" s="2"/>
      <c r="T769" s="2"/>
      <c r="U769" s="2"/>
      <c r="V769" s="2"/>
      <c r="W769" s="2"/>
      <c r="X769" s="2"/>
    </row>
    <row r="770" ht="15.75" customHeight="1">
      <c r="R770" s="2"/>
      <c r="S770" s="2"/>
      <c r="T770" s="2"/>
      <c r="U770" s="2"/>
      <c r="V770" s="2"/>
      <c r="W770" s="2"/>
      <c r="X770" s="2"/>
    </row>
    <row r="771" ht="15.75" customHeight="1">
      <c r="R771" s="2"/>
      <c r="S771" s="2"/>
      <c r="T771" s="2"/>
      <c r="U771" s="2"/>
      <c r="V771" s="2"/>
      <c r="W771" s="2"/>
      <c r="X771" s="2"/>
    </row>
    <row r="772" ht="15.75" customHeight="1">
      <c r="R772" s="2"/>
      <c r="S772" s="2"/>
      <c r="T772" s="2"/>
      <c r="U772" s="2"/>
      <c r="V772" s="2"/>
      <c r="W772" s="2"/>
      <c r="X772" s="2"/>
    </row>
    <row r="773" ht="15.75" customHeight="1">
      <c r="R773" s="2"/>
      <c r="S773" s="2"/>
      <c r="T773" s="2"/>
      <c r="U773" s="2"/>
      <c r="V773" s="2"/>
      <c r="W773" s="2"/>
      <c r="X773" s="2"/>
    </row>
    <row r="774" ht="15.75" customHeight="1">
      <c r="R774" s="2"/>
      <c r="S774" s="2"/>
      <c r="T774" s="2"/>
      <c r="U774" s="2"/>
      <c r="V774" s="2"/>
      <c r="W774" s="2"/>
      <c r="X774" s="2"/>
    </row>
    <row r="775" ht="15.75" customHeight="1">
      <c r="R775" s="2"/>
      <c r="S775" s="2"/>
      <c r="T775" s="2"/>
      <c r="U775" s="2"/>
      <c r="V775" s="2"/>
      <c r="W775" s="2"/>
      <c r="X775" s="2"/>
    </row>
    <row r="776" ht="15.75" customHeight="1">
      <c r="R776" s="2"/>
      <c r="S776" s="2"/>
      <c r="T776" s="2"/>
      <c r="U776" s="2"/>
      <c r="V776" s="2"/>
      <c r="W776" s="2"/>
      <c r="X776" s="2"/>
    </row>
    <row r="777" ht="15.75" customHeight="1">
      <c r="R777" s="2"/>
      <c r="S777" s="2"/>
      <c r="T777" s="2"/>
      <c r="U777" s="2"/>
      <c r="V777" s="2"/>
      <c r="W777" s="2"/>
      <c r="X777" s="2"/>
    </row>
    <row r="778" ht="15.75" customHeight="1">
      <c r="R778" s="2"/>
      <c r="S778" s="2"/>
      <c r="T778" s="2"/>
      <c r="U778" s="2"/>
      <c r="V778" s="2"/>
      <c r="W778" s="2"/>
      <c r="X778" s="2"/>
    </row>
    <row r="779" ht="15.75" customHeight="1">
      <c r="R779" s="2"/>
      <c r="S779" s="2"/>
      <c r="T779" s="2"/>
      <c r="U779" s="2"/>
      <c r="V779" s="2"/>
      <c r="W779" s="2"/>
      <c r="X779" s="2"/>
    </row>
    <row r="780" ht="15.75" customHeight="1">
      <c r="R780" s="2"/>
      <c r="S780" s="2"/>
      <c r="T780" s="2"/>
      <c r="U780" s="2"/>
      <c r="V780" s="2"/>
      <c r="W780" s="2"/>
      <c r="X780" s="2"/>
    </row>
    <row r="781" ht="15.75" customHeight="1">
      <c r="R781" s="2"/>
      <c r="S781" s="2"/>
      <c r="T781" s="2"/>
      <c r="U781" s="2"/>
      <c r="V781" s="2"/>
      <c r="W781" s="2"/>
      <c r="X781" s="2"/>
    </row>
    <row r="782" ht="15.75" customHeight="1">
      <c r="R782" s="2"/>
      <c r="S782" s="2"/>
      <c r="T782" s="2"/>
      <c r="U782" s="2"/>
      <c r="V782" s="2"/>
      <c r="W782" s="2"/>
      <c r="X782" s="2"/>
    </row>
    <row r="783" ht="15.75" customHeight="1">
      <c r="R783" s="2"/>
      <c r="S783" s="2"/>
      <c r="T783" s="2"/>
      <c r="U783" s="2"/>
      <c r="V783" s="2"/>
      <c r="W783" s="2"/>
      <c r="X783" s="2"/>
    </row>
    <row r="784" ht="15.75" customHeight="1">
      <c r="R784" s="2"/>
      <c r="S784" s="2"/>
      <c r="T784" s="2"/>
      <c r="U784" s="2"/>
      <c r="V784" s="2"/>
      <c r="W784" s="2"/>
      <c r="X784" s="2"/>
    </row>
    <row r="785" ht="15.75" customHeight="1">
      <c r="R785" s="2"/>
      <c r="S785" s="2"/>
      <c r="T785" s="2"/>
      <c r="U785" s="2"/>
      <c r="V785" s="2"/>
      <c r="W785" s="2"/>
      <c r="X785" s="2"/>
    </row>
    <row r="786" ht="15.75" customHeight="1">
      <c r="R786" s="2"/>
      <c r="S786" s="2"/>
      <c r="T786" s="2"/>
      <c r="U786" s="2"/>
      <c r="V786" s="2"/>
      <c r="W786" s="2"/>
      <c r="X786" s="2"/>
    </row>
    <row r="787" ht="15.75" customHeight="1">
      <c r="R787" s="2"/>
      <c r="S787" s="2"/>
      <c r="T787" s="2"/>
      <c r="U787" s="2"/>
      <c r="V787" s="2"/>
      <c r="W787" s="2"/>
      <c r="X787" s="2"/>
    </row>
    <row r="788" ht="15.75" customHeight="1">
      <c r="R788" s="2"/>
      <c r="S788" s="2"/>
      <c r="T788" s="2"/>
      <c r="U788" s="2"/>
      <c r="V788" s="2"/>
      <c r="W788" s="2"/>
      <c r="X788" s="2"/>
    </row>
    <row r="789" ht="15.75" customHeight="1">
      <c r="R789" s="2"/>
      <c r="S789" s="2"/>
      <c r="T789" s="2"/>
      <c r="U789" s="2"/>
      <c r="V789" s="2"/>
      <c r="W789" s="2"/>
      <c r="X789" s="2"/>
    </row>
    <row r="790" ht="15.75" customHeight="1">
      <c r="R790" s="2"/>
      <c r="S790" s="2"/>
      <c r="T790" s="2"/>
      <c r="U790" s="2"/>
      <c r="V790" s="2"/>
      <c r="W790" s="2"/>
      <c r="X790" s="2"/>
    </row>
    <row r="791" ht="15.75" customHeight="1">
      <c r="R791" s="2"/>
      <c r="S791" s="2"/>
      <c r="T791" s="2"/>
      <c r="U791" s="2"/>
      <c r="V791" s="2"/>
      <c r="W791" s="2"/>
      <c r="X791" s="2"/>
    </row>
    <row r="792" ht="15.75" customHeight="1">
      <c r="R792" s="2"/>
      <c r="S792" s="2"/>
      <c r="T792" s="2"/>
      <c r="U792" s="2"/>
      <c r="V792" s="2"/>
      <c r="W792" s="2"/>
      <c r="X792" s="2"/>
    </row>
    <row r="793" ht="15.75" customHeight="1">
      <c r="R793" s="2"/>
      <c r="S793" s="2"/>
      <c r="T793" s="2"/>
      <c r="U793" s="2"/>
      <c r="V793" s="2"/>
      <c r="W793" s="2"/>
      <c r="X793" s="2"/>
    </row>
    <row r="794" ht="15.75" customHeight="1">
      <c r="R794" s="2"/>
      <c r="S794" s="2"/>
      <c r="T794" s="2"/>
      <c r="U794" s="2"/>
      <c r="V794" s="2"/>
      <c r="W794" s="2"/>
      <c r="X794" s="2"/>
    </row>
    <row r="795" ht="15.75" customHeight="1">
      <c r="R795" s="2"/>
      <c r="S795" s="2"/>
      <c r="T795" s="2"/>
      <c r="U795" s="2"/>
      <c r="V795" s="2"/>
      <c r="W795" s="2"/>
      <c r="X795" s="2"/>
    </row>
    <row r="796" ht="15.75" customHeight="1">
      <c r="R796" s="2"/>
      <c r="S796" s="2"/>
      <c r="T796" s="2"/>
      <c r="U796" s="2"/>
      <c r="V796" s="2"/>
      <c r="W796" s="2"/>
      <c r="X796" s="2"/>
    </row>
    <row r="797" ht="15.75" customHeight="1">
      <c r="R797" s="2"/>
      <c r="S797" s="2"/>
      <c r="T797" s="2"/>
      <c r="U797" s="2"/>
      <c r="V797" s="2"/>
      <c r="W797" s="2"/>
      <c r="X797" s="2"/>
    </row>
    <row r="798" ht="15.75" customHeight="1">
      <c r="R798" s="2"/>
      <c r="S798" s="2"/>
      <c r="T798" s="2"/>
      <c r="U798" s="2"/>
      <c r="V798" s="2"/>
      <c r="W798" s="2"/>
      <c r="X798" s="2"/>
    </row>
    <row r="799" ht="15.75" customHeight="1">
      <c r="R799" s="2"/>
      <c r="S799" s="2"/>
      <c r="T799" s="2"/>
      <c r="U799" s="2"/>
      <c r="V799" s="2"/>
      <c r="W799" s="2"/>
      <c r="X799" s="2"/>
    </row>
    <row r="800" ht="15.75" customHeight="1">
      <c r="R800" s="2"/>
      <c r="S800" s="2"/>
      <c r="T800" s="2"/>
      <c r="U800" s="2"/>
      <c r="V800" s="2"/>
      <c r="W800" s="2"/>
      <c r="X800" s="2"/>
    </row>
    <row r="801" ht="15.75" customHeight="1">
      <c r="R801" s="2"/>
      <c r="S801" s="2"/>
      <c r="T801" s="2"/>
      <c r="U801" s="2"/>
      <c r="V801" s="2"/>
      <c r="W801" s="2"/>
      <c r="X801" s="2"/>
    </row>
    <row r="802" ht="15.75" customHeight="1">
      <c r="R802" s="2"/>
      <c r="S802" s="2"/>
      <c r="T802" s="2"/>
      <c r="U802" s="2"/>
      <c r="V802" s="2"/>
      <c r="W802" s="2"/>
      <c r="X802" s="2"/>
    </row>
    <row r="803" ht="15.75" customHeight="1">
      <c r="R803" s="2"/>
      <c r="S803" s="2"/>
      <c r="T803" s="2"/>
      <c r="U803" s="2"/>
      <c r="V803" s="2"/>
      <c r="W803" s="2"/>
      <c r="X803" s="2"/>
    </row>
    <row r="804" ht="15.75" customHeight="1">
      <c r="R804" s="2"/>
      <c r="S804" s="2"/>
      <c r="T804" s="2"/>
      <c r="U804" s="2"/>
      <c r="V804" s="2"/>
      <c r="W804" s="2"/>
      <c r="X804" s="2"/>
    </row>
    <row r="805" ht="15.75" customHeight="1">
      <c r="R805" s="2"/>
      <c r="S805" s="2"/>
      <c r="T805" s="2"/>
      <c r="U805" s="2"/>
      <c r="V805" s="2"/>
      <c r="W805" s="2"/>
      <c r="X805" s="2"/>
    </row>
    <row r="806" ht="15.75" customHeight="1">
      <c r="R806" s="2"/>
      <c r="S806" s="2"/>
      <c r="T806" s="2"/>
      <c r="U806" s="2"/>
      <c r="V806" s="2"/>
      <c r="W806" s="2"/>
      <c r="X806" s="2"/>
    </row>
    <row r="807" ht="15.75" customHeight="1">
      <c r="R807" s="2"/>
      <c r="S807" s="2"/>
      <c r="T807" s="2"/>
      <c r="U807" s="2"/>
      <c r="V807" s="2"/>
      <c r="W807" s="2"/>
      <c r="X807" s="2"/>
    </row>
    <row r="808" ht="15.75" customHeight="1">
      <c r="R808" s="2"/>
      <c r="S808" s="2"/>
      <c r="T808" s="2"/>
      <c r="U808" s="2"/>
      <c r="V808" s="2"/>
      <c r="W808" s="2"/>
      <c r="X808" s="2"/>
    </row>
    <row r="809" ht="15.75" customHeight="1">
      <c r="R809" s="2"/>
      <c r="S809" s="2"/>
      <c r="T809" s="2"/>
      <c r="U809" s="2"/>
      <c r="V809" s="2"/>
      <c r="W809" s="2"/>
      <c r="X809" s="2"/>
    </row>
    <row r="810" ht="15.75" customHeight="1">
      <c r="R810" s="2"/>
      <c r="S810" s="2"/>
      <c r="T810" s="2"/>
      <c r="U810" s="2"/>
      <c r="V810" s="2"/>
      <c r="W810" s="2"/>
      <c r="X810" s="2"/>
    </row>
    <row r="811" ht="15.75" customHeight="1">
      <c r="R811" s="2"/>
      <c r="S811" s="2"/>
      <c r="T811" s="2"/>
      <c r="U811" s="2"/>
      <c r="V811" s="2"/>
      <c r="W811" s="2"/>
      <c r="X811" s="2"/>
    </row>
    <row r="812" ht="15.75" customHeight="1">
      <c r="R812" s="2"/>
      <c r="S812" s="2"/>
      <c r="T812" s="2"/>
      <c r="U812" s="2"/>
      <c r="V812" s="2"/>
      <c r="W812" s="2"/>
      <c r="X812" s="2"/>
    </row>
    <row r="813" ht="15.75" customHeight="1">
      <c r="R813" s="2"/>
      <c r="S813" s="2"/>
      <c r="T813" s="2"/>
      <c r="U813" s="2"/>
      <c r="V813" s="2"/>
      <c r="W813" s="2"/>
      <c r="X813" s="2"/>
    </row>
    <row r="814" ht="15.75" customHeight="1">
      <c r="R814" s="2"/>
      <c r="S814" s="2"/>
      <c r="T814" s="2"/>
      <c r="U814" s="2"/>
      <c r="V814" s="2"/>
      <c r="W814" s="2"/>
      <c r="X814" s="2"/>
    </row>
    <row r="815" ht="15.75" customHeight="1">
      <c r="R815" s="2"/>
      <c r="S815" s="2"/>
      <c r="T815" s="2"/>
      <c r="U815" s="2"/>
      <c r="V815" s="2"/>
      <c r="W815" s="2"/>
      <c r="X815" s="2"/>
    </row>
    <row r="816" ht="15.75" customHeight="1">
      <c r="R816" s="2"/>
      <c r="S816" s="2"/>
      <c r="T816" s="2"/>
      <c r="U816" s="2"/>
      <c r="V816" s="2"/>
      <c r="W816" s="2"/>
      <c r="X816" s="2"/>
    </row>
    <row r="817" ht="15.75" customHeight="1">
      <c r="R817" s="2"/>
      <c r="S817" s="2"/>
      <c r="T817" s="2"/>
      <c r="U817" s="2"/>
      <c r="V817" s="2"/>
      <c r="W817" s="2"/>
      <c r="X817" s="2"/>
    </row>
    <row r="818" ht="15.75" customHeight="1">
      <c r="R818" s="2"/>
      <c r="S818" s="2"/>
      <c r="T818" s="2"/>
      <c r="U818" s="2"/>
      <c r="V818" s="2"/>
      <c r="W818" s="2"/>
      <c r="X818" s="2"/>
    </row>
    <row r="819" ht="15.75" customHeight="1">
      <c r="R819" s="2"/>
      <c r="S819" s="2"/>
      <c r="T819" s="2"/>
      <c r="U819" s="2"/>
      <c r="V819" s="2"/>
      <c r="W819" s="2"/>
      <c r="X819" s="2"/>
    </row>
    <row r="820" ht="15.75" customHeight="1">
      <c r="R820" s="2"/>
      <c r="S820" s="2"/>
      <c r="T820" s="2"/>
      <c r="U820" s="2"/>
      <c r="V820" s="2"/>
      <c r="W820" s="2"/>
      <c r="X820" s="2"/>
    </row>
    <row r="821" ht="15.75" customHeight="1">
      <c r="R821" s="2"/>
      <c r="S821" s="2"/>
      <c r="T821" s="2"/>
      <c r="U821" s="2"/>
      <c r="V821" s="2"/>
      <c r="W821" s="2"/>
      <c r="X821" s="2"/>
    </row>
    <row r="822" ht="15.75" customHeight="1">
      <c r="R822" s="2"/>
      <c r="S822" s="2"/>
      <c r="T822" s="2"/>
      <c r="U822" s="2"/>
      <c r="V822" s="2"/>
      <c r="W822" s="2"/>
      <c r="X822" s="2"/>
    </row>
    <row r="823" ht="15.75" customHeight="1">
      <c r="R823" s="2"/>
      <c r="S823" s="2"/>
      <c r="T823" s="2"/>
      <c r="U823" s="2"/>
      <c r="V823" s="2"/>
      <c r="W823" s="2"/>
      <c r="X823" s="2"/>
    </row>
    <row r="824" ht="15.75" customHeight="1">
      <c r="R824" s="2"/>
      <c r="S824" s="2"/>
      <c r="T824" s="2"/>
      <c r="U824" s="2"/>
      <c r="V824" s="2"/>
      <c r="W824" s="2"/>
      <c r="X824" s="2"/>
    </row>
    <row r="825" ht="15.75" customHeight="1">
      <c r="R825" s="2"/>
      <c r="S825" s="2"/>
      <c r="T825" s="2"/>
      <c r="U825" s="2"/>
      <c r="V825" s="2"/>
      <c r="W825" s="2"/>
      <c r="X825" s="2"/>
    </row>
    <row r="826" ht="15.75" customHeight="1">
      <c r="R826" s="2"/>
      <c r="S826" s="2"/>
      <c r="T826" s="2"/>
      <c r="U826" s="2"/>
      <c r="V826" s="2"/>
      <c r="W826" s="2"/>
      <c r="X826" s="2"/>
    </row>
    <row r="827" ht="15.75" customHeight="1">
      <c r="R827" s="2"/>
      <c r="S827" s="2"/>
      <c r="T827" s="2"/>
      <c r="U827" s="2"/>
      <c r="V827" s="2"/>
      <c r="W827" s="2"/>
      <c r="X827" s="2"/>
    </row>
    <row r="828" ht="15.75" customHeight="1">
      <c r="R828" s="2"/>
      <c r="S828" s="2"/>
      <c r="T828" s="2"/>
      <c r="U828" s="2"/>
      <c r="V828" s="2"/>
      <c r="W828" s="2"/>
      <c r="X828" s="2"/>
    </row>
    <row r="829" ht="15.75" customHeight="1">
      <c r="R829" s="2"/>
      <c r="S829" s="2"/>
      <c r="T829" s="2"/>
      <c r="U829" s="2"/>
      <c r="V829" s="2"/>
      <c r="W829" s="2"/>
      <c r="X829" s="2"/>
    </row>
    <row r="830" ht="15.75" customHeight="1">
      <c r="R830" s="2"/>
      <c r="S830" s="2"/>
      <c r="T830" s="2"/>
      <c r="U830" s="2"/>
      <c r="V830" s="2"/>
      <c r="W830" s="2"/>
      <c r="X830" s="2"/>
    </row>
    <row r="831" ht="15.75" customHeight="1">
      <c r="R831" s="2"/>
      <c r="S831" s="2"/>
      <c r="T831" s="2"/>
      <c r="U831" s="2"/>
      <c r="V831" s="2"/>
      <c r="W831" s="2"/>
      <c r="X831" s="2"/>
    </row>
    <row r="832" ht="15.75" customHeight="1">
      <c r="R832" s="2"/>
      <c r="S832" s="2"/>
      <c r="T832" s="2"/>
      <c r="U832" s="2"/>
      <c r="V832" s="2"/>
      <c r="W832" s="2"/>
      <c r="X832" s="2"/>
    </row>
    <row r="833" ht="15.75" customHeight="1">
      <c r="R833" s="2"/>
      <c r="S833" s="2"/>
      <c r="T833" s="2"/>
      <c r="U833" s="2"/>
      <c r="V833" s="2"/>
      <c r="W833" s="2"/>
      <c r="X833" s="2"/>
    </row>
    <row r="834" ht="15.75" customHeight="1">
      <c r="R834" s="2"/>
      <c r="S834" s="2"/>
      <c r="T834" s="2"/>
      <c r="U834" s="2"/>
      <c r="V834" s="2"/>
      <c r="W834" s="2"/>
      <c r="X834" s="2"/>
    </row>
    <row r="835" ht="15.75" customHeight="1">
      <c r="R835" s="2"/>
      <c r="S835" s="2"/>
      <c r="T835" s="2"/>
      <c r="U835" s="2"/>
      <c r="V835" s="2"/>
      <c r="W835" s="2"/>
      <c r="X835" s="2"/>
    </row>
    <row r="836" ht="15.75" customHeight="1">
      <c r="R836" s="2"/>
      <c r="S836" s="2"/>
      <c r="T836" s="2"/>
      <c r="U836" s="2"/>
      <c r="V836" s="2"/>
      <c r="W836" s="2"/>
      <c r="X836" s="2"/>
    </row>
    <row r="837" ht="15.75" customHeight="1">
      <c r="R837" s="2"/>
      <c r="S837" s="2"/>
      <c r="T837" s="2"/>
      <c r="U837" s="2"/>
      <c r="V837" s="2"/>
      <c r="W837" s="2"/>
      <c r="X837" s="2"/>
    </row>
    <row r="838" ht="15.75" customHeight="1">
      <c r="R838" s="2"/>
      <c r="S838" s="2"/>
      <c r="T838" s="2"/>
      <c r="U838" s="2"/>
      <c r="V838" s="2"/>
      <c r="W838" s="2"/>
      <c r="X838" s="2"/>
    </row>
    <row r="839" ht="15.75" customHeight="1">
      <c r="R839" s="2"/>
      <c r="S839" s="2"/>
      <c r="T839" s="2"/>
      <c r="U839" s="2"/>
      <c r="V839" s="2"/>
      <c r="W839" s="2"/>
      <c r="X839" s="2"/>
    </row>
    <row r="840" ht="15.75" customHeight="1">
      <c r="R840" s="2"/>
      <c r="S840" s="2"/>
      <c r="T840" s="2"/>
      <c r="U840" s="2"/>
      <c r="V840" s="2"/>
      <c r="W840" s="2"/>
      <c r="X840" s="2"/>
    </row>
    <row r="841" ht="15.75" customHeight="1">
      <c r="R841" s="2"/>
      <c r="S841" s="2"/>
      <c r="T841" s="2"/>
      <c r="U841" s="2"/>
      <c r="V841" s="2"/>
      <c r="W841" s="2"/>
      <c r="X841" s="2"/>
    </row>
    <row r="842" ht="15.75" customHeight="1">
      <c r="R842" s="2"/>
      <c r="S842" s="2"/>
      <c r="T842" s="2"/>
      <c r="U842" s="2"/>
      <c r="V842" s="2"/>
      <c r="W842" s="2"/>
      <c r="X842" s="2"/>
    </row>
    <row r="843" ht="15.75" customHeight="1">
      <c r="R843" s="2"/>
      <c r="S843" s="2"/>
      <c r="T843" s="2"/>
      <c r="U843" s="2"/>
      <c r="V843" s="2"/>
      <c r="W843" s="2"/>
      <c r="X843" s="2"/>
    </row>
    <row r="844" ht="15.75" customHeight="1">
      <c r="R844" s="2"/>
      <c r="S844" s="2"/>
      <c r="T844" s="2"/>
      <c r="U844" s="2"/>
      <c r="V844" s="2"/>
      <c r="W844" s="2"/>
      <c r="X844" s="2"/>
    </row>
    <row r="845" ht="15.75" customHeight="1">
      <c r="R845" s="2"/>
      <c r="S845" s="2"/>
      <c r="T845" s="2"/>
      <c r="U845" s="2"/>
      <c r="V845" s="2"/>
      <c r="W845" s="2"/>
      <c r="X845" s="2"/>
    </row>
    <row r="846" ht="15.75" customHeight="1">
      <c r="R846" s="2"/>
      <c r="S846" s="2"/>
      <c r="T846" s="2"/>
      <c r="U846" s="2"/>
      <c r="V846" s="2"/>
      <c r="W846" s="2"/>
      <c r="X846" s="2"/>
    </row>
    <row r="847" ht="15.75" customHeight="1">
      <c r="R847" s="2"/>
      <c r="S847" s="2"/>
      <c r="T847" s="2"/>
      <c r="U847" s="2"/>
      <c r="V847" s="2"/>
      <c r="W847" s="2"/>
      <c r="X847" s="2"/>
    </row>
    <row r="848" ht="15.75" customHeight="1">
      <c r="R848" s="2"/>
      <c r="S848" s="2"/>
      <c r="T848" s="2"/>
      <c r="U848" s="2"/>
      <c r="V848" s="2"/>
      <c r="W848" s="2"/>
      <c r="X848" s="2"/>
    </row>
    <row r="849" ht="15.75" customHeight="1">
      <c r="R849" s="2"/>
      <c r="S849" s="2"/>
      <c r="T849" s="2"/>
      <c r="U849" s="2"/>
      <c r="V849" s="2"/>
      <c r="W849" s="2"/>
      <c r="X849" s="2"/>
    </row>
    <row r="850" ht="15.75" customHeight="1">
      <c r="R850" s="2"/>
      <c r="S850" s="2"/>
      <c r="T850" s="2"/>
      <c r="U850" s="2"/>
      <c r="V850" s="2"/>
      <c r="W850" s="2"/>
      <c r="X850" s="2"/>
    </row>
    <row r="851" ht="15.75" customHeight="1">
      <c r="R851" s="2"/>
      <c r="S851" s="2"/>
      <c r="T851" s="2"/>
      <c r="U851" s="2"/>
      <c r="V851" s="2"/>
      <c r="W851" s="2"/>
      <c r="X851" s="2"/>
    </row>
    <row r="852" ht="15.75" customHeight="1">
      <c r="R852" s="2"/>
      <c r="S852" s="2"/>
      <c r="T852" s="2"/>
      <c r="U852" s="2"/>
      <c r="V852" s="2"/>
      <c r="W852" s="2"/>
      <c r="X852" s="2"/>
    </row>
    <row r="853" ht="15.75" customHeight="1">
      <c r="R853" s="2"/>
      <c r="S853" s="2"/>
      <c r="T853" s="2"/>
      <c r="U853" s="2"/>
      <c r="V853" s="2"/>
      <c r="W853" s="2"/>
      <c r="X853" s="2"/>
    </row>
    <row r="854" ht="15.75" customHeight="1">
      <c r="R854" s="2"/>
      <c r="S854" s="2"/>
      <c r="T854" s="2"/>
      <c r="U854" s="2"/>
      <c r="V854" s="2"/>
      <c r="W854" s="2"/>
      <c r="X854" s="2"/>
    </row>
    <row r="855" ht="15.75" customHeight="1">
      <c r="R855" s="2"/>
      <c r="S855" s="2"/>
      <c r="T855" s="2"/>
      <c r="U855" s="2"/>
      <c r="V855" s="2"/>
      <c r="W855" s="2"/>
      <c r="X855" s="2"/>
    </row>
    <row r="856" ht="15.75" customHeight="1">
      <c r="R856" s="2"/>
      <c r="S856" s="2"/>
      <c r="T856" s="2"/>
      <c r="U856" s="2"/>
      <c r="V856" s="2"/>
      <c r="W856" s="2"/>
      <c r="X856" s="2"/>
    </row>
    <row r="857" ht="15.75" customHeight="1">
      <c r="R857" s="2"/>
      <c r="S857" s="2"/>
      <c r="T857" s="2"/>
      <c r="U857" s="2"/>
      <c r="V857" s="2"/>
      <c r="W857" s="2"/>
      <c r="X857" s="2"/>
    </row>
    <row r="858" ht="15.75" customHeight="1">
      <c r="R858" s="2"/>
      <c r="S858" s="2"/>
      <c r="T858" s="2"/>
      <c r="U858" s="2"/>
      <c r="V858" s="2"/>
      <c r="W858" s="2"/>
      <c r="X858" s="2"/>
    </row>
    <row r="859" ht="15.75" customHeight="1">
      <c r="R859" s="2"/>
      <c r="S859" s="2"/>
      <c r="T859" s="2"/>
      <c r="U859" s="2"/>
      <c r="V859" s="2"/>
      <c r="W859" s="2"/>
      <c r="X859" s="2"/>
    </row>
    <row r="860" ht="15.75" customHeight="1">
      <c r="R860" s="2"/>
      <c r="S860" s="2"/>
      <c r="T860" s="2"/>
      <c r="U860" s="2"/>
      <c r="V860" s="2"/>
      <c r="W860" s="2"/>
      <c r="X860" s="2"/>
    </row>
    <row r="861" ht="15.75" customHeight="1">
      <c r="R861" s="2"/>
      <c r="S861" s="2"/>
      <c r="T861" s="2"/>
      <c r="U861" s="2"/>
      <c r="V861" s="2"/>
      <c r="W861" s="2"/>
      <c r="X861" s="2"/>
    </row>
    <row r="862" ht="15.75" customHeight="1">
      <c r="R862" s="2"/>
      <c r="S862" s="2"/>
      <c r="T862" s="2"/>
      <c r="U862" s="2"/>
      <c r="V862" s="2"/>
      <c r="W862" s="2"/>
      <c r="X862" s="2"/>
    </row>
    <row r="863" ht="15.75" customHeight="1">
      <c r="R863" s="2"/>
      <c r="S863" s="2"/>
      <c r="T863" s="2"/>
      <c r="U863" s="2"/>
      <c r="V863" s="2"/>
      <c r="W863" s="2"/>
      <c r="X863" s="2"/>
    </row>
    <row r="864" ht="15.75" customHeight="1">
      <c r="R864" s="2"/>
      <c r="S864" s="2"/>
      <c r="T864" s="2"/>
      <c r="U864" s="2"/>
      <c r="V864" s="2"/>
      <c r="W864" s="2"/>
      <c r="X864" s="2"/>
    </row>
    <row r="865" ht="15.75" customHeight="1">
      <c r="R865" s="2"/>
      <c r="S865" s="2"/>
      <c r="T865" s="2"/>
      <c r="U865" s="2"/>
      <c r="V865" s="2"/>
      <c r="W865" s="2"/>
      <c r="X865" s="2"/>
    </row>
    <row r="866" ht="15.75" customHeight="1">
      <c r="R866" s="2"/>
      <c r="S866" s="2"/>
      <c r="T866" s="2"/>
      <c r="U866" s="2"/>
      <c r="V866" s="2"/>
      <c r="W866" s="2"/>
      <c r="X866" s="2"/>
    </row>
    <row r="867" ht="15.75" customHeight="1">
      <c r="R867" s="2"/>
      <c r="S867" s="2"/>
      <c r="T867" s="2"/>
      <c r="U867" s="2"/>
      <c r="V867" s="2"/>
      <c r="W867" s="2"/>
      <c r="X867" s="2"/>
    </row>
    <row r="868" ht="15.75" customHeight="1">
      <c r="R868" s="2"/>
      <c r="S868" s="2"/>
      <c r="T868" s="2"/>
      <c r="U868" s="2"/>
      <c r="V868" s="2"/>
      <c r="W868" s="2"/>
      <c r="X868" s="2"/>
    </row>
    <row r="869" ht="15.75" customHeight="1">
      <c r="R869" s="2"/>
      <c r="S869" s="2"/>
      <c r="T869" s="2"/>
      <c r="U869" s="2"/>
      <c r="V869" s="2"/>
      <c r="W869" s="2"/>
      <c r="X869" s="2"/>
    </row>
    <row r="870" ht="15.75" customHeight="1">
      <c r="R870" s="2"/>
      <c r="S870" s="2"/>
      <c r="T870" s="2"/>
      <c r="U870" s="2"/>
      <c r="V870" s="2"/>
      <c r="W870" s="2"/>
      <c r="X870" s="2"/>
    </row>
    <row r="871" ht="15.75" customHeight="1">
      <c r="R871" s="2"/>
      <c r="S871" s="2"/>
      <c r="T871" s="2"/>
      <c r="U871" s="2"/>
      <c r="V871" s="2"/>
      <c r="W871" s="2"/>
      <c r="X871" s="2"/>
    </row>
    <row r="872" ht="15.75" customHeight="1">
      <c r="R872" s="2"/>
      <c r="S872" s="2"/>
      <c r="T872" s="2"/>
      <c r="U872" s="2"/>
      <c r="V872" s="2"/>
      <c r="W872" s="2"/>
      <c r="X872" s="2"/>
    </row>
    <row r="873" ht="15.75" customHeight="1">
      <c r="R873" s="2"/>
      <c r="S873" s="2"/>
      <c r="T873" s="2"/>
      <c r="U873" s="2"/>
      <c r="V873" s="2"/>
      <c r="W873" s="2"/>
      <c r="X873" s="2"/>
    </row>
    <row r="874" ht="15.75" customHeight="1">
      <c r="R874" s="2"/>
      <c r="S874" s="2"/>
      <c r="T874" s="2"/>
      <c r="U874" s="2"/>
      <c r="V874" s="2"/>
      <c r="W874" s="2"/>
      <c r="X874" s="2"/>
    </row>
    <row r="875" ht="15.75" customHeight="1">
      <c r="R875" s="2"/>
      <c r="S875" s="2"/>
      <c r="T875" s="2"/>
      <c r="U875" s="2"/>
      <c r="V875" s="2"/>
      <c r="W875" s="2"/>
      <c r="X875" s="2"/>
    </row>
    <row r="876" ht="15.75" customHeight="1">
      <c r="R876" s="2"/>
      <c r="S876" s="2"/>
      <c r="T876" s="2"/>
      <c r="U876" s="2"/>
      <c r="V876" s="2"/>
      <c r="W876" s="2"/>
      <c r="X876" s="2"/>
    </row>
    <row r="877" ht="15.75" customHeight="1">
      <c r="R877" s="2"/>
      <c r="S877" s="2"/>
      <c r="T877" s="2"/>
      <c r="U877" s="2"/>
      <c r="V877" s="2"/>
      <c r="W877" s="2"/>
      <c r="X877" s="2"/>
    </row>
    <row r="878" ht="15.75" customHeight="1">
      <c r="R878" s="2"/>
      <c r="S878" s="2"/>
      <c r="T878" s="2"/>
      <c r="U878" s="2"/>
      <c r="V878" s="2"/>
      <c r="W878" s="2"/>
      <c r="X878" s="2"/>
    </row>
    <row r="879" ht="15.75" customHeight="1">
      <c r="R879" s="2"/>
      <c r="S879" s="2"/>
      <c r="T879" s="2"/>
      <c r="U879" s="2"/>
      <c r="V879" s="2"/>
      <c r="W879" s="2"/>
      <c r="X879" s="2"/>
    </row>
    <row r="880" ht="15.75" customHeight="1">
      <c r="R880" s="2"/>
      <c r="S880" s="2"/>
      <c r="T880" s="2"/>
      <c r="U880" s="2"/>
      <c r="V880" s="2"/>
      <c r="W880" s="2"/>
      <c r="X880" s="2"/>
    </row>
    <row r="881" ht="15.75" customHeight="1">
      <c r="R881" s="2"/>
      <c r="S881" s="2"/>
      <c r="T881" s="2"/>
      <c r="U881" s="2"/>
      <c r="V881" s="2"/>
      <c r="W881" s="2"/>
      <c r="X881" s="2"/>
    </row>
    <row r="882" ht="15.75" customHeight="1">
      <c r="R882" s="2"/>
      <c r="S882" s="2"/>
      <c r="T882" s="2"/>
      <c r="U882" s="2"/>
      <c r="V882" s="2"/>
      <c r="W882" s="2"/>
      <c r="X882" s="2"/>
    </row>
    <row r="883" ht="15.75" customHeight="1">
      <c r="R883" s="2"/>
      <c r="S883" s="2"/>
      <c r="T883" s="2"/>
      <c r="U883" s="2"/>
      <c r="V883" s="2"/>
      <c r="W883" s="2"/>
      <c r="X883" s="2"/>
    </row>
    <row r="884" ht="15.75" customHeight="1">
      <c r="R884" s="2"/>
      <c r="S884" s="2"/>
      <c r="T884" s="2"/>
      <c r="U884" s="2"/>
      <c r="V884" s="2"/>
      <c r="W884" s="2"/>
      <c r="X884" s="2"/>
    </row>
    <row r="885" ht="15.75" customHeight="1">
      <c r="R885" s="2"/>
      <c r="S885" s="2"/>
      <c r="T885" s="2"/>
      <c r="U885" s="2"/>
      <c r="V885" s="2"/>
      <c r="W885" s="2"/>
      <c r="X885" s="2"/>
    </row>
    <row r="886" ht="15.75" customHeight="1">
      <c r="R886" s="2"/>
      <c r="S886" s="2"/>
      <c r="T886" s="2"/>
      <c r="U886" s="2"/>
      <c r="V886" s="2"/>
      <c r="W886" s="2"/>
      <c r="X886" s="2"/>
    </row>
    <row r="887" ht="15.75" customHeight="1">
      <c r="R887" s="2"/>
      <c r="S887" s="2"/>
      <c r="T887" s="2"/>
      <c r="U887" s="2"/>
      <c r="V887" s="2"/>
      <c r="W887" s="2"/>
      <c r="X887" s="2"/>
    </row>
    <row r="888" ht="15.75" customHeight="1">
      <c r="R888" s="2"/>
      <c r="S888" s="2"/>
      <c r="T888" s="2"/>
      <c r="U888" s="2"/>
      <c r="V888" s="2"/>
      <c r="W888" s="2"/>
      <c r="X888" s="2"/>
    </row>
    <row r="889" ht="15.75" customHeight="1">
      <c r="R889" s="2"/>
      <c r="S889" s="2"/>
      <c r="T889" s="2"/>
      <c r="U889" s="2"/>
      <c r="V889" s="2"/>
      <c r="W889" s="2"/>
      <c r="X889" s="2"/>
    </row>
    <row r="890" ht="15.75" customHeight="1">
      <c r="R890" s="2"/>
      <c r="S890" s="2"/>
      <c r="T890" s="2"/>
      <c r="U890" s="2"/>
      <c r="V890" s="2"/>
      <c r="W890" s="2"/>
      <c r="X890" s="2"/>
    </row>
    <row r="891" ht="15.75" customHeight="1">
      <c r="R891" s="2"/>
      <c r="S891" s="2"/>
      <c r="T891" s="2"/>
      <c r="U891" s="2"/>
      <c r="V891" s="2"/>
      <c r="W891" s="2"/>
      <c r="X891" s="2"/>
    </row>
    <row r="892" ht="15.75" customHeight="1">
      <c r="R892" s="2"/>
      <c r="S892" s="2"/>
      <c r="T892" s="2"/>
      <c r="U892" s="2"/>
      <c r="V892" s="2"/>
      <c r="W892" s="2"/>
      <c r="X892" s="2"/>
    </row>
    <row r="893" ht="15.75" customHeight="1">
      <c r="R893" s="2"/>
      <c r="S893" s="2"/>
      <c r="T893" s="2"/>
      <c r="U893" s="2"/>
      <c r="V893" s="2"/>
      <c r="W893" s="2"/>
      <c r="X893" s="2"/>
    </row>
    <row r="894" ht="15.75" customHeight="1">
      <c r="R894" s="2"/>
      <c r="S894" s="2"/>
      <c r="T894" s="2"/>
      <c r="U894" s="2"/>
      <c r="V894" s="2"/>
      <c r="W894" s="2"/>
      <c r="X894" s="2"/>
    </row>
    <row r="895" ht="15.75" customHeight="1">
      <c r="R895" s="2"/>
      <c r="S895" s="2"/>
      <c r="T895" s="2"/>
      <c r="U895" s="2"/>
      <c r="V895" s="2"/>
      <c r="W895" s="2"/>
      <c r="X895" s="2"/>
    </row>
    <row r="896" ht="15.75" customHeight="1">
      <c r="R896" s="2"/>
      <c r="S896" s="2"/>
      <c r="T896" s="2"/>
      <c r="U896" s="2"/>
      <c r="V896" s="2"/>
      <c r="W896" s="2"/>
      <c r="X896" s="2"/>
    </row>
    <row r="897" ht="15.75" customHeight="1">
      <c r="R897" s="2"/>
      <c r="S897" s="2"/>
      <c r="T897" s="2"/>
      <c r="U897" s="2"/>
      <c r="V897" s="2"/>
      <c r="W897" s="2"/>
      <c r="X897" s="2"/>
    </row>
    <row r="898" ht="15.75" customHeight="1">
      <c r="R898" s="2"/>
      <c r="S898" s="2"/>
      <c r="T898" s="2"/>
      <c r="U898" s="2"/>
      <c r="V898" s="2"/>
      <c r="W898" s="2"/>
      <c r="X898" s="2"/>
    </row>
    <row r="899" ht="15.75" customHeight="1">
      <c r="R899" s="2"/>
      <c r="S899" s="2"/>
      <c r="T899" s="2"/>
      <c r="U899" s="2"/>
      <c r="V899" s="2"/>
      <c r="W899" s="2"/>
      <c r="X899" s="2"/>
    </row>
    <row r="900" ht="15.75" customHeight="1">
      <c r="R900" s="2"/>
      <c r="S900" s="2"/>
      <c r="T900" s="2"/>
      <c r="U900" s="2"/>
      <c r="V900" s="2"/>
      <c r="W900" s="2"/>
      <c r="X900" s="2"/>
    </row>
    <row r="901" ht="15.75" customHeight="1">
      <c r="R901" s="2"/>
      <c r="S901" s="2"/>
      <c r="T901" s="2"/>
      <c r="U901" s="2"/>
      <c r="V901" s="2"/>
      <c r="W901" s="2"/>
      <c r="X901" s="2"/>
    </row>
    <row r="902" ht="15.75" customHeight="1">
      <c r="R902" s="2"/>
      <c r="S902" s="2"/>
      <c r="T902" s="2"/>
      <c r="U902" s="2"/>
      <c r="V902" s="2"/>
      <c r="W902" s="2"/>
      <c r="X902" s="2"/>
    </row>
    <row r="903" ht="15.75" customHeight="1">
      <c r="R903" s="2"/>
      <c r="S903" s="2"/>
      <c r="T903" s="2"/>
      <c r="U903" s="2"/>
      <c r="V903" s="2"/>
      <c r="W903" s="2"/>
      <c r="X903" s="2"/>
    </row>
    <row r="904" ht="15.75" customHeight="1">
      <c r="R904" s="2"/>
      <c r="S904" s="2"/>
      <c r="T904" s="2"/>
      <c r="U904" s="2"/>
      <c r="V904" s="2"/>
      <c r="W904" s="2"/>
      <c r="X904" s="2"/>
    </row>
    <row r="905" ht="15.75" customHeight="1">
      <c r="R905" s="2"/>
      <c r="S905" s="2"/>
      <c r="T905" s="2"/>
      <c r="U905" s="2"/>
      <c r="V905" s="2"/>
      <c r="W905" s="2"/>
      <c r="X905" s="2"/>
    </row>
    <row r="906" ht="15.75" customHeight="1">
      <c r="R906" s="2"/>
      <c r="S906" s="2"/>
      <c r="T906" s="2"/>
      <c r="U906" s="2"/>
      <c r="V906" s="2"/>
      <c r="W906" s="2"/>
      <c r="X906" s="2"/>
    </row>
    <row r="907" ht="15.75" customHeight="1">
      <c r="R907" s="2"/>
      <c r="S907" s="2"/>
      <c r="T907" s="2"/>
      <c r="U907" s="2"/>
      <c r="V907" s="2"/>
      <c r="W907" s="2"/>
      <c r="X907" s="2"/>
    </row>
    <row r="908" ht="15.75" customHeight="1">
      <c r="R908" s="2"/>
      <c r="S908" s="2"/>
      <c r="T908" s="2"/>
      <c r="U908" s="2"/>
      <c r="V908" s="2"/>
      <c r="W908" s="2"/>
      <c r="X908" s="2"/>
    </row>
    <row r="909" ht="15.75" customHeight="1">
      <c r="R909" s="2"/>
      <c r="S909" s="2"/>
      <c r="T909" s="2"/>
      <c r="U909" s="2"/>
      <c r="V909" s="2"/>
      <c r="W909" s="2"/>
      <c r="X909" s="2"/>
    </row>
    <row r="910" ht="15.75" customHeight="1">
      <c r="R910" s="2"/>
      <c r="S910" s="2"/>
      <c r="T910" s="2"/>
      <c r="U910" s="2"/>
      <c r="V910" s="2"/>
      <c r="W910" s="2"/>
      <c r="X910" s="2"/>
    </row>
    <row r="911" ht="15.75" customHeight="1">
      <c r="R911" s="2"/>
      <c r="S911" s="2"/>
      <c r="T911" s="2"/>
      <c r="U911" s="2"/>
      <c r="V911" s="2"/>
      <c r="W911" s="2"/>
      <c r="X911" s="2"/>
    </row>
    <row r="912" ht="15.75" customHeight="1">
      <c r="R912" s="2"/>
      <c r="S912" s="2"/>
      <c r="T912" s="2"/>
      <c r="U912" s="2"/>
      <c r="V912" s="2"/>
      <c r="W912" s="2"/>
      <c r="X912" s="2"/>
    </row>
    <row r="913" ht="15.75" customHeight="1">
      <c r="R913" s="2"/>
      <c r="S913" s="2"/>
      <c r="T913" s="2"/>
      <c r="U913" s="2"/>
      <c r="V913" s="2"/>
      <c r="W913" s="2"/>
      <c r="X913" s="2"/>
    </row>
    <row r="914" ht="15.75" customHeight="1">
      <c r="R914" s="2"/>
      <c r="S914" s="2"/>
      <c r="T914" s="2"/>
      <c r="U914" s="2"/>
      <c r="V914" s="2"/>
      <c r="W914" s="2"/>
      <c r="X914" s="2"/>
    </row>
    <row r="915" ht="15.75" customHeight="1">
      <c r="R915" s="2"/>
      <c r="S915" s="2"/>
      <c r="T915" s="2"/>
      <c r="U915" s="2"/>
      <c r="V915" s="2"/>
      <c r="W915" s="2"/>
      <c r="X915" s="2"/>
    </row>
    <row r="916" ht="15.75" customHeight="1">
      <c r="R916" s="2"/>
      <c r="S916" s="2"/>
      <c r="T916" s="2"/>
      <c r="U916" s="2"/>
      <c r="V916" s="2"/>
      <c r="W916" s="2"/>
      <c r="X916" s="2"/>
    </row>
    <row r="917" ht="15.75" customHeight="1">
      <c r="R917" s="2"/>
      <c r="S917" s="2"/>
      <c r="T917" s="2"/>
      <c r="U917" s="2"/>
      <c r="V917" s="2"/>
      <c r="W917" s="2"/>
      <c r="X917" s="2"/>
    </row>
    <row r="918" ht="15.75" customHeight="1">
      <c r="R918" s="2"/>
      <c r="S918" s="2"/>
      <c r="T918" s="2"/>
      <c r="U918" s="2"/>
      <c r="V918" s="2"/>
      <c r="W918" s="2"/>
      <c r="X918" s="2"/>
    </row>
    <row r="919" ht="15.75" customHeight="1">
      <c r="R919" s="2"/>
      <c r="S919" s="2"/>
      <c r="T919" s="2"/>
      <c r="U919" s="2"/>
      <c r="V919" s="2"/>
      <c r="W919" s="2"/>
      <c r="X919" s="2"/>
    </row>
    <row r="920" ht="15.75" customHeight="1">
      <c r="R920" s="2"/>
      <c r="S920" s="2"/>
      <c r="T920" s="2"/>
      <c r="U920" s="2"/>
      <c r="V920" s="2"/>
      <c r="W920" s="2"/>
      <c r="X920" s="2"/>
    </row>
    <row r="921" ht="15.75" customHeight="1">
      <c r="R921" s="2"/>
      <c r="S921" s="2"/>
      <c r="T921" s="2"/>
      <c r="U921" s="2"/>
      <c r="V921" s="2"/>
      <c r="W921" s="2"/>
      <c r="X921" s="2"/>
    </row>
    <row r="922" ht="15.75" customHeight="1">
      <c r="R922" s="2"/>
      <c r="S922" s="2"/>
      <c r="T922" s="2"/>
      <c r="U922" s="2"/>
      <c r="V922" s="2"/>
      <c r="W922" s="2"/>
      <c r="X922" s="2"/>
    </row>
    <row r="923" ht="15.75" customHeight="1">
      <c r="R923" s="2"/>
      <c r="S923" s="2"/>
      <c r="T923" s="2"/>
      <c r="U923" s="2"/>
      <c r="V923" s="2"/>
      <c r="W923" s="2"/>
      <c r="X923" s="2"/>
    </row>
    <row r="924" ht="15.75" customHeight="1">
      <c r="R924" s="2"/>
      <c r="S924" s="2"/>
      <c r="T924" s="2"/>
      <c r="U924" s="2"/>
      <c r="V924" s="2"/>
      <c r="W924" s="2"/>
      <c r="X924" s="2"/>
    </row>
    <row r="925" ht="15.75" customHeight="1">
      <c r="R925" s="2"/>
      <c r="S925" s="2"/>
      <c r="T925" s="2"/>
      <c r="U925" s="2"/>
      <c r="V925" s="2"/>
      <c r="W925" s="2"/>
      <c r="X925" s="2"/>
    </row>
    <row r="926" ht="15.75" customHeight="1">
      <c r="R926" s="2"/>
      <c r="S926" s="2"/>
      <c r="T926" s="2"/>
      <c r="U926" s="2"/>
      <c r="V926" s="2"/>
      <c r="W926" s="2"/>
      <c r="X926" s="2"/>
    </row>
    <row r="927" ht="15.75" customHeight="1">
      <c r="R927" s="2"/>
      <c r="S927" s="2"/>
      <c r="T927" s="2"/>
      <c r="U927" s="2"/>
      <c r="V927" s="2"/>
      <c r="W927" s="2"/>
      <c r="X927" s="2"/>
    </row>
    <row r="928" ht="15.75" customHeight="1">
      <c r="R928" s="2"/>
      <c r="S928" s="2"/>
      <c r="T928" s="2"/>
      <c r="U928" s="2"/>
      <c r="V928" s="2"/>
      <c r="W928" s="2"/>
      <c r="X928" s="2"/>
    </row>
    <row r="929" ht="15.75" customHeight="1">
      <c r="R929" s="2"/>
      <c r="S929" s="2"/>
      <c r="T929" s="2"/>
      <c r="U929" s="2"/>
      <c r="V929" s="2"/>
      <c r="W929" s="2"/>
      <c r="X929" s="2"/>
    </row>
    <row r="930" ht="15.75" customHeight="1">
      <c r="R930" s="2"/>
      <c r="S930" s="2"/>
      <c r="T930" s="2"/>
      <c r="U930" s="2"/>
      <c r="V930" s="2"/>
      <c r="W930" s="2"/>
      <c r="X930" s="2"/>
    </row>
    <row r="931" ht="15.75" customHeight="1">
      <c r="R931" s="2"/>
      <c r="S931" s="2"/>
      <c r="T931" s="2"/>
      <c r="U931" s="2"/>
      <c r="V931" s="2"/>
      <c r="W931" s="2"/>
      <c r="X931" s="2"/>
    </row>
    <row r="932" ht="15.75" customHeight="1">
      <c r="R932" s="2"/>
      <c r="S932" s="2"/>
      <c r="T932" s="2"/>
      <c r="U932" s="2"/>
      <c r="V932" s="2"/>
      <c r="W932" s="2"/>
      <c r="X932" s="2"/>
    </row>
    <row r="933" ht="15.75" customHeight="1">
      <c r="R933" s="2"/>
      <c r="S933" s="2"/>
      <c r="T933" s="2"/>
      <c r="U933" s="2"/>
      <c r="V933" s="2"/>
      <c r="W933" s="2"/>
      <c r="X933" s="2"/>
    </row>
    <row r="934" ht="15.75" customHeight="1">
      <c r="R934" s="2"/>
      <c r="S934" s="2"/>
      <c r="T934" s="2"/>
      <c r="U934" s="2"/>
      <c r="V934" s="2"/>
      <c r="W934" s="2"/>
      <c r="X934" s="2"/>
    </row>
    <row r="935" ht="15.75" customHeight="1">
      <c r="R935" s="2"/>
      <c r="S935" s="2"/>
      <c r="T935" s="2"/>
      <c r="U935" s="2"/>
      <c r="V935" s="2"/>
      <c r="W935" s="2"/>
      <c r="X935" s="2"/>
    </row>
    <row r="936" ht="15.75" customHeight="1">
      <c r="R936" s="2"/>
      <c r="S936" s="2"/>
      <c r="T936" s="2"/>
      <c r="U936" s="2"/>
      <c r="V936" s="2"/>
      <c r="W936" s="2"/>
      <c r="X936" s="2"/>
    </row>
    <row r="937" ht="15.75" customHeight="1">
      <c r="R937" s="2"/>
      <c r="S937" s="2"/>
      <c r="T937" s="2"/>
      <c r="U937" s="2"/>
      <c r="V937" s="2"/>
      <c r="W937" s="2"/>
      <c r="X937" s="2"/>
    </row>
    <row r="938" ht="15.75" customHeight="1">
      <c r="R938" s="2"/>
      <c r="S938" s="2"/>
      <c r="T938" s="2"/>
      <c r="U938" s="2"/>
      <c r="V938" s="2"/>
      <c r="W938" s="2"/>
      <c r="X938" s="2"/>
    </row>
    <row r="939" ht="15.75" customHeight="1">
      <c r="R939" s="2"/>
      <c r="S939" s="2"/>
      <c r="T939" s="2"/>
      <c r="U939" s="2"/>
      <c r="V939" s="2"/>
      <c r="W939" s="2"/>
      <c r="X939" s="2"/>
    </row>
    <row r="940" ht="15.75" customHeight="1">
      <c r="R940" s="2"/>
      <c r="S940" s="2"/>
      <c r="T940" s="2"/>
      <c r="U940" s="2"/>
      <c r="V940" s="2"/>
      <c r="W940" s="2"/>
      <c r="X940" s="2"/>
    </row>
    <row r="941" ht="15.75" customHeight="1">
      <c r="R941" s="2"/>
      <c r="S941" s="2"/>
      <c r="T941" s="2"/>
      <c r="U941" s="2"/>
      <c r="V941" s="2"/>
      <c r="W941" s="2"/>
      <c r="X941" s="2"/>
    </row>
    <row r="942" ht="15.75" customHeight="1">
      <c r="R942" s="2"/>
      <c r="S942" s="2"/>
      <c r="T942" s="2"/>
      <c r="U942" s="2"/>
      <c r="V942" s="2"/>
      <c r="W942" s="2"/>
      <c r="X942" s="2"/>
    </row>
    <row r="943" ht="15.75" customHeight="1">
      <c r="R943" s="2"/>
      <c r="S943" s="2"/>
      <c r="T943" s="2"/>
      <c r="U943" s="2"/>
      <c r="V943" s="2"/>
      <c r="W943" s="2"/>
      <c r="X943" s="2"/>
    </row>
    <row r="944" ht="15.75" customHeight="1">
      <c r="R944" s="2"/>
      <c r="S944" s="2"/>
      <c r="T944" s="2"/>
      <c r="U944" s="2"/>
      <c r="V944" s="2"/>
      <c r="W944" s="2"/>
      <c r="X944" s="2"/>
    </row>
    <row r="945" ht="15.75" customHeight="1">
      <c r="R945" s="2"/>
      <c r="S945" s="2"/>
      <c r="T945" s="2"/>
      <c r="U945" s="2"/>
      <c r="V945" s="2"/>
      <c r="W945" s="2"/>
      <c r="X945" s="2"/>
    </row>
    <row r="946" ht="15.75" customHeight="1">
      <c r="R946" s="2"/>
      <c r="S946" s="2"/>
      <c r="T946" s="2"/>
      <c r="U946" s="2"/>
      <c r="V946" s="2"/>
      <c r="W946" s="2"/>
      <c r="X946" s="2"/>
    </row>
    <row r="947" ht="15.75" customHeight="1">
      <c r="R947" s="2"/>
      <c r="S947" s="2"/>
      <c r="T947" s="2"/>
      <c r="U947" s="2"/>
      <c r="V947" s="2"/>
      <c r="W947" s="2"/>
      <c r="X947" s="2"/>
    </row>
    <row r="948" ht="15.75" customHeight="1">
      <c r="R948" s="2"/>
      <c r="S948" s="2"/>
      <c r="T948" s="2"/>
      <c r="U948" s="2"/>
      <c r="V948" s="2"/>
      <c r="W948" s="2"/>
      <c r="X948" s="2"/>
    </row>
    <row r="949" ht="15.75" customHeight="1">
      <c r="R949" s="2"/>
      <c r="S949" s="2"/>
      <c r="T949" s="2"/>
      <c r="U949" s="2"/>
      <c r="V949" s="2"/>
      <c r="W949" s="2"/>
      <c r="X949" s="2"/>
    </row>
    <row r="950" ht="15.75" customHeight="1">
      <c r="R950" s="2"/>
      <c r="S950" s="2"/>
      <c r="T950" s="2"/>
      <c r="U950" s="2"/>
      <c r="V950" s="2"/>
      <c r="W950" s="2"/>
      <c r="X950" s="2"/>
    </row>
    <row r="951" ht="15.75" customHeight="1">
      <c r="R951" s="2"/>
      <c r="S951" s="2"/>
      <c r="T951" s="2"/>
      <c r="U951" s="2"/>
      <c r="V951" s="2"/>
      <c r="W951" s="2"/>
      <c r="X951" s="2"/>
    </row>
    <row r="952" ht="15.75" customHeight="1">
      <c r="R952" s="2"/>
      <c r="S952" s="2"/>
      <c r="T952" s="2"/>
      <c r="U952" s="2"/>
      <c r="V952" s="2"/>
      <c r="W952" s="2"/>
      <c r="X952" s="2"/>
    </row>
    <row r="953" ht="15.75" customHeight="1">
      <c r="R953" s="2"/>
      <c r="S953" s="2"/>
      <c r="T953" s="2"/>
      <c r="U953" s="2"/>
      <c r="V953" s="2"/>
      <c r="W953" s="2"/>
      <c r="X953" s="2"/>
    </row>
    <row r="954" ht="15.75" customHeight="1">
      <c r="R954" s="2"/>
      <c r="S954" s="2"/>
      <c r="T954" s="2"/>
      <c r="U954" s="2"/>
      <c r="V954" s="2"/>
      <c r="W954" s="2"/>
      <c r="X954" s="2"/>
    </row>
    <row r="955" ht="15.75" customHeight="1">
      <c r="R955" s="2"/>
      <c r="S955" s="2"/>
      <c r="T955" s="2"/>
      <c r="U955" s="2"/>
      <c r="V955" s="2"/>
      <c r="W955" s="2"/>
      <c r="X955" s="2"/>
    </row>
    <row r="956" ht="15.75" customHeight="1">
      <c r="R956" s="2"/>
      <c r="S956" s="2"/>
      <c r="T956" s="2"/>
      <c r="U956" s="2"/>
      <c r="V956" s="2"/>
      <c r="W956" s="2"/>
      <c r="X956" s="2"/>
    </row>
    <row r="957" ht="15.75" customHeight="1">
      <c r="R957" s="2"/>
      <c r="S957" s="2"/>
      <c r="T957" s="2"/>
      <c r="U957" s="2"/>
      <c r="V957" s="2"/>
      <c r="W957" s="2"/>
      <c r="X957" s="2"/>
    </row>
    <row r="958" ht="15.75" customHeight="1">
      <c r="R958" s="2"/>
      <c r="S958" s="2"/>
      <c r="T958" s="2"/>
      <c r="U958" s="2"/>
      <c r="V958" s="2"/>
      <c r="W958" s="2"/>
      <c r="X958" s="2"/>
    </row>
    <row r="959" ht="15.75" customHeight="1">
      <c r="R959" s="2"/>
      <c r="S959" s="2"/>
      <c r="T959" s="2"/>
      <c r="U959" s="2"/>
      <c r="V959" s="2"/>
      <c r="W959" s="2"/>
      <c r="X959" s="2"/>
    </row>
    <row r="960" ht="15.75" customHeight="1">
      <c r="R960" s="2"/>
      <c r="S960" s="2"/>
      <c r="T960" s="2"/>
      <c r="U960" s="2"/>
      <c r="V960" s="2"/>
      <c r="W960" s="2"/>
      <c r="X960" s="2"/>
    </row>
    <row r="961" ht="15.75" customHeight="1">
      <c r="R961" s="2"/>
      <c r="S961" s="2"/>
      <c r="T961" s="2"/>
      <c r="U961" s="2"/>
      <c r="V961" s="2"/>
      <c r="W961" s="2"/>
      <c r="X961" s="2"/>
    </row>
    <row r="962" ht="15.75" customHeight="1">
      <c r="R962" s="2"/>
      <c r="S962" s="2"/>
      <c r="T962" s="2"/>
      <c r="U962" s="2"/>
      <c r="V962" s="2"/>
      <c r="W962" s="2"/>
      <c r="X962" s="2"/>
    </row>
    <row r="963" ht="15.75" customHeight="1">
      <c r="R963" s="2"/>
      <c r="S963" s="2"/>
      <c r="T963" s="2"/>
      <c r="U963" s="2"/>
      <c r="V963" s="2"/>
      <c r="W963" s="2"/>
      <c r="X963" s="2"/>
    </row>
    <row r="964" ht="15.75" customHeight="1">
      <c r="R964" s="2"/>
      <c r="S964" s="2"/>
      <c r="T964" s="2"/>
      <c r="U964" s="2"/>
      <c r="V964" s="2"/>
      <c r="W964" s="2"/>
      <c r="X964" s="2"/>
    </row>
    <row r="965" ht="15.75" customHeight="1">
      <c r="R965" s="2"/>
      <c r="S965" s="2"/>
      <c r="T965" s="2"/>
      <c r="U965" s="2"/>
      <c r="V965" s="2"/>
      <c r="W965" s="2"/>
      <c r="X965" s="2"/>
    </row>
    <row r="966" ht="15.75" customHeight="1">
      <c r="R966" s="2"/>
      <c r="S966" s="2"/>
      <c r="T966" s="2"/>
      <c r="U966" s="2"/>
      <c r="V966" s="2"/>
      <c r="W966" s="2"/>
      <c r="X966" s="2"/>
    </row>
    <row r="967" ht="15.75" customHeight="1">
      <c r="R967" s="2"/>
      <c r="S967" s="2"/>
      <c r="T967" s="2"/>
      <c r="U967" s="2"/>
      <c r="V967" s="2"/>
      <c r="W967" s="2"/>
      <c r="X967" s="2"/>
    </row>
    <row r="968" ht="15.75" customHeight="1">
      <c r="R968" s="2"/>
      <c r="S968" s="2"/>
      <c r="T968" s="2"/>
      <c r="U968" s="2"/>
      <c r="V968" s="2"/>
      <c r="W968" s="2"/>
      <c r="X968" s="2"/>
    </row>
    <row r="969" ht="15.75" customHeight="1">
      <c r="R969" s="2"/>
      <c r="S969" s="2"/>
      <c r="T969" s="2"/>
      <c r="U969" s="2"/>
      <c r="V969" s="2"/>
      <c r="W969" s="2"/>
      <c r="X969" s="2"/>
    </row>
    <row r="970" ht="15.75" customHeight="1">
      <c r="R970" s="2"/>
      <c r="S970" s="2"/>
      <c r="T970" s="2"/>
      <c r="U970" s="2"/>
      <c r="V970" s="2"/>
      <c r="W970" s="2"/>
      <c r="X970" s="2"/>
    </row>
    <row r="971" ht="15.75" customHeight="1">
      <c r="R971" s="2"/>
      <c r="S971" s="2"/>
      <c r="T971" s="2"/>
      <c r="U971" s="2"/>
      <c r="V971" s="2"/>
      <c r="W971" s="2"/>
      <c r="X971" s="2"/>
    </row>
    <row r="972" ht="15.75" customHeight="1">
      <c r="R972" s="2"/>
      <c r="S972" s="2"/>
      <c r="T972" s="2"/>
      <c r="U972" s="2"/>
      <c r="V972" s="2"/>
      <c r="W972" s="2"/>
      <c r="X972" s="2"/>
    </row>
    <row r="973" ht="15.75" customHeight="1">
      <c r="R973" s="2"/>
      <c r="S973" s="2"/>
      <c r="T973" s="2"/>
      <c r="U973" s="2"/>
      <c r="V973" s="2"/>
      <c r="W973" s="2"/>
      <c r="X973" s="2"/>
    </row>
    <row r="974" ht="15.75" customHeight="1">
      <c r="R974" s="2"/>
      <c r="S974" s="2"/>
      <c r="T974" s="2"/>
      <c r="U974" s="2"/>
      <c r="V974" s="2"/>
      <c r="W974" s="2"/>
      <c r="X974" s="2"/>
    </row>
    <row r="975" ht="15.75" customHeight="1">
      <c r="R975" s="2"/>
      <c r="S975" s="2"/>
      <c r="T975" s="2"/>
      <c r="U975" s="2"/>
      <c r="V975" s="2"/>
      <c r="W975" s="2"/>
      <c r="X975" s="2"/>
    </row>
    <row r="976" ht="15.75" customHeight="1">
      <c r="R976" s="2"/>
      <c r="S976" s="2"/>
      <c r="T976" s="2"/>
      <c r="U976" s="2"/>
      <c r="V976" s="2"/>
      <c r="W976" s="2"/>
      <c r="X976" s="2"/>
    </row>
    <row r="977" ht="15.75" customHeight="1">
      <c r="R977" s="2"/>
      <c r="S977" s="2"/>
      <c r="T977" s="2"/>
      <c r="U977" s="2"/>
      <c r="V977" s="2"/>
      <c r="W977" s="2"/>
      <c r="X977" s="2"/>
    </row>
    <row r="978" ht="15.75" customHeight="1">
      <c r="R978" s="2"/>
      <c r="S978" s="2"/>
      <c r="T978" s="2"/>
      <c r="U978" s="2"/>
      <c r="V978" s="2"/>
      <c r="W978" s="2"/>
      <c r="X978" s="2"/>
    </row>
    <row r="979" ht="15.75" customHeight="1">
      <c r="R979" s="2"/>
      <c r="S979" s="2"/>
      <c r="T979" s="2"/>
      <c r="U979" s="2"/>
      <c r="V979" s="2"/>
      <c r="W979" s="2"/>
      <c r="X979" s="2"/>
    </row>
    <row r="980" ht="15.75" customHeight="1">
      <c r="R980" s="2"/>
      <c r="S980" s="2"/>
      <c r="T980" s="2"/>
      <c r="U980" s="2"/>
      <c r="V980" s="2"/>
      <c r="W980" s="2"/>
      <c r="X980" s="2"/>
    </row>
    <row r="981" ht="15.75" customHeight="1">
      <c r="R981" s="2"/>
      <c r="S981" s="2"/>
      <c r="T981" s="2"/>
      <c r="U981" s="2"/>
      <c r="V981" s="2"/>
      <c r="W981" s="2"/>
      <c r="X981" s="2"/>
    </row>
    <row r="982" ht="15.75" customHeight="1">
      <c r="R982" s="2"/>
      <c r="S982" s="2"/>
      <c r="T982" s="2"/>
      <c r="U982" s="2"/>
      <c r="V982" s="2"/>
      <c r="W982" s="2"/>
      <c r="X982" s="2"/>
    </row>
    <row r="983" ht="15.75" customHeight="1">
      <c r="R983" s="2"/>
      <c r="S983" s="2"/>
      <c r="T983" s="2"/>
      <c r="U983" s="2"/>
      <c r="V983" s="2"/>
      <c r="W983" s="2"/>
      <c r="X983" s="2"/>
    </row>
    <row r="984" ht="15.75" customHeight="1">
      <c r="R984" s="2"/>
      <c r="S984" s="2"/>
      <c r="T984" s="2"/>
      <c r="U984" s="2"/>
      <c r="V984" s="2"/>
      <c r="W984" s="2"/>
      <c r="X984" s="2"/>
    </row>
    <row r="985" ht="15.75" customHeight="1">
      <c r="R985" s="2"/>
      <c r="S985" s="2"/>
      <c r="T985" s="2"/>
      <c r="U985" s="2"/>
      <c r="V985" s="2"/>
      <c r="W985" s="2"/>
      <c r="X985" s="2"/>
    </row>
    <row r="986" ht="15.75" customHeight="1">
      <c r="R986" s="2"/>
      <c r="S986" s="2"/>
      <c r="T986" s="2"/>
      <c r="U986" s="2"/>
      <c r="V986" s="2"/>
      <c r="W986" s="2"/>
      <c r="X986" s="2"/>
    </row>
    <row r="987" ht="15.75" customHeight="1">
      <c r="R987" s="2"/>
      <c r="S987" s="2"/>
      <c r="T987" s="2"/>
      <c r="U987" s="2"/>
      <c r="V987" s="2"/>
      <c r="W987" s="2"/>
      <c r="X987" s="2"/>
    </row>
    <row r="988" ht="15.75" customHeight="1">
      <c r="R988" s="2"/>
      <c r="S988" s="2"/>
      <c r="T988" s="2"/>
      <c r="U988" s="2"/>
      <c r="V988" s="2"/>
      <c r="W988" s="2"/>
      <c r="X988" s="2"/>
    </row>
    <row r="989" ht="15.75" customHeight="1">
      <c r="R989" s="2"/>
      <c r="S989" s="2"/>
      <c r="T989" s="2"/>
      <c r="U989" s="2"/>
      <c r="V989" s="2"/>
      <c r="W989" s="2"/>
      <c r="X989" s="2"/>
    </row>
    <row r="990" ht="15.75" customHeight="1">
      <c r="R990" s="2"/>
      <c r="S990" s="2"/>
      <c r="T990" s="2"/>
      <c r="U990" s="2"/>
      <c r="V990" s="2"/>
      <c r="W990" s="2"/>
      <c r="X990" s="2"/>
    </row>
    <row r="991" ht="15.75" customHeight="1">
      <c r="R991" s="2"/>
      <c r="S991" s="2"/>
      <c r="T991" s="2"/>
      <c r="U991" s="2"/>
      <c r="V991" s="2"/>
      <c r="W991" s="2"/>
      <c r="X991" s="2"/>
    </row>
    <row r="992" ht="15.75" customHeight="1">
      <c r="R992" s="2"/>
      <c r="S992" s="2"/>
      <c r="T992" s="2"/>
      <c r="U992" s="2"/>
      <c r="V992" s="2"/>
      <c r="W992" s="2"/>
      <c r="X992" s="2"/>
    </row>
    <row r="993" ht="15.75" customHeight="1">
      <c r="R993" s="2"/>
      <c r="S993" s="2"/>
      <c r="T993" s="2"/>
      <c r="U993" s="2"/>
      <c r="V993" s="2"/>
      <c r="W993" s="2"/>
      <c r="X993" s="2"/>
    </row>
    <row r="994" ht="15.75" customHeight="1">
      <c r="R994" s="2"/>
      <c r="S994" s="2"/>
      <c r="T994" s="2"/>
      <c r="U994" s="2"/>
      <c r="V994" s="2"/>
      <c r="W994" s="2"/>
      <c r="X994" s="2"/>
    </row>
    <row r="995" ht="15.75" customHeight="1">
      <c r="R995" s="2"/>
      <c r="S995" s="2"/>
      <c r="T995" s="2"/>
      <c r="U995" s="2"/>
      <c r="V995" s="2"/>
      <c r="W995" s="2"/>
      <c r="X995" s="2"/>
    </row>
    <row r="996" ht="15.75" customHeight="1">
      <c r="R996" s="2"/>
      <c r="S996" s="2"/>
      <c r="T996" s="2"/>
      <c r="U996" s="2"/>
      <c r="V996" s="2"/>
      <c r="W996" s="2"/>
      <c r="X996" s="2"/>
    </row>
    <row r="997" ht="15.75" customHeight="1">
      <c r="R997" s="2"/>
      <c r="S997" s="2"/>
      <c r="T997" s="2"/>
      <c r="U997" s="2"/>
      <c r="V997" s="2"/>
      <c r="W997" s="2"/>
      <c r="X997" s="2"/>
    </row>
    <row r="998" ht="15.75" customHeight="1">
      <c r="R998" s="2"/>
      <c r="S998" s="2"/>
      <c r="T998" s="2"/>
      <c r="U998" s="2"/>
      <c r="V998" s="2"/>
      <c r="W998" s="2"/>
      <c r="X998" s="2"/>
    </row>
    <row r="999" ht="15.75" customHeight="1">
      <c r="R999" s="2"/>
      <c r="S999" s="2"/>
      <c r="T999" s="2"/>
      <c r="U999" s="2"/>
      <c r="V999" s="2"/>
      <c r="W999" s="2"/>
      <c r="X999" s="2"/>
    </row>
    <row r="1000" ht="15.75" customHeight="1">
      <c r="R1000" s="2"/>
      <c r="S1000" s="2"/>
      <c r="T1000" s="2"/>
      <c r="U1000" s="2"/>
      <c r="V1000" s="2"/>
      <c r="W1000" s="2"/>
      <c r="X1000" s="2"/>
    </row>
    <row r="1001" ht="15.75" customHeight="1">
      <c r="R1001" s="2"/>
      <c r="S1001" s="2"/>
      <c r="T1001" s="2"/>
      <c r="U1001" s="2"/>
      <c r="V1001" s="2"/>
      <c r="W1001" s="2"/>
      <c r="X1001" s="2"/>
    </row>
    <row r="1002" ht="15.75" customHeight="1">
      <c r="R1002" s="2"/>
      <c r="S1002" s="2"/>
      <c r="T1002" s="2"/>
      <c r="U1002" s="2"/>
      <c r="V1002" s="2"/>
      <c r="W1002" s="2"/>
      <c r="X1002" s="2"/>
    </row>
    <row r="1003" ht="15.75" customHeight="1">
      <c r="R1003" s="2"/>
      <c r="S1003" s="2"/>
      <c r="T1003" s="2"/>
      <c r="U1003" s="2"/>
      <c r="V1003" s="2"/>
      <c r="W1003" s="2"/>
      <c r="X1003" s="2"/>
    </row>
    <row r="1004" ht="15.75" customHeight="1">
      <c r="R1004" s="2"/>
      <c r="S1004" s="2"/>
      <c r="T1004" s="2"/>
      <c r="U1004" s="2"/>
      <c r="V1004" s="2"/>
      <c r="W1004" s="2"/>
      <c r="X1004" s="2"/>
    </row>
    <row r="1005" ht="15.75" customHeight="1">
      <c r="R1005" s="2"/>
      <c r="S1005" s="2"/>
      <c r="T1005" s="2"/>
      <c r="U1005" s="2"/>
      <c r="V1005" s="2"/>
      <c r="W1005" s="2"/>
      <c r="X1005" s="2"/>
    </row>
    <row r="1006" ht="15.75" customHeight="1">
      <c r="R1006" s="2"/>
      <c r="S1006" s="2"/>
      <c r="T1006" s="2"/>
      <c r="U1006" s="2"/>
      <c r="V1006" s="2"/>
      <c r="W1006" s="2"/>
      <c r="X1006" s="2"/>
    </row>
    <row r="1007" ht="15.75" customHeight="1">
      <c r="R1007" s="2"/>
      <c r="S1007" s="2"/>
      <c r="T1007" s="2"/>
      <c r="U1007" s="2"/>
      <c r="V1007" s="2"/>
      <c r="W1007" s="2"/>
      <c r="X1007" s="2"/>
    </row>
    <row r="1008" ht="15.75" customHeight="1">
      <c r="R1008" s="2"/>
      <c r="S1008" s="2"/>
      <c r="T1008" s="2"/>
      <c r="U1008" s="2"/>
      <c r="V1008" s="2"/>
      <c r="W1008" s="2"/>
      <c r="X1008" s="2"/>
    </row>
    <row r="1009" ht="15.75" customHeight="1">
      <c r="R1009" s="2"/>
      <c r="S1009" s="2"/>
      <c r="T1009" s="2"/>
      <c r="U1009" s="2"/>
      <c r="V1009" s="2"/>
      <c r="W1009" s="2"/>
      <c r="X1009" s="2"/>
    </row>
  </sheetData>
  <mergeCells count="46">
    <mergeCell ref="N59:O59"/>
    <mergeCell ref="N69:O69"/>
    <mergeCell ref="M50:N50"/>
    <mergeCell ref="L51:N51"/>
    <mergeCell ref="F58:G58"/>
    <mergeCell ref="N58:O58"/>
    <mergeCell ref="F59:G59"/>
    <mergeCell ref="D62:F62"/>
    <mergeCell ref="L62:N62"/>
    <mergeCell ref="F69:G69"/>
    <mergeCell ref="B10:C10"/>
    <mergeCell ref="D10:P10"/>
    <mergeCell ref="D12:F12"/>
    <mergeCell ref="L12:N12"/>
    <mergeCell ref="M19:N19"/>
    <mergeCell ref="M20:N20"/>
    <mergeCell ref="D21:F21"/>
    <mergeCell ref="T24:W25"/>
    <mergeCell ref="W33:W35"/>
    <mergeCell ref="X33:X35"/>
    <mergeCell ref="L21:N21"/>
    <mergeCell ref="N28:O28"/>
    <mergeCell ref="N29:O29"/>
    <mergeCell ref="D31:F31"/>
    <mergeCell ref="L31:N31"/>
    <mergeCell ref="E28:F28"/>
    <mergeCell ref="E29:F29"/>
    <mergeCell ref="N38:O38"/>
    <mergeCell ref="F39:G39"/>
    <mergeCell ref="N39:O39"/>
    <mergeCell ref="D41:F41"/>
    <mergeCell ref="L41:N41"/>
    <mergeCell ref="S41:X41"/>
    <mergeCell ref="F38:G38"/>
    <mergeCell ref="S47:X49"/>
    <mergeCell ref="S50:X56"/>
    <mergeCell ref="S57:X61"/>
    <mergeCell ref="S42:X42"/>
    <mergeCell ref="S43:X44"/>
    <mergeCell ref="S45:X46"/>
    <mergeCell ref="F48:G48"/>
    <mergeCell ref="F49:G49"/>
    <mergeCell ref="M49:N49"/>
    <mergeCell ref="D51:F51"/>
    <mergeCell ref="N70:O70"/>
    <mergeCell ref="F70:G70"/>
  </mergeCells>
  <conditionalFormatting sqref="U30">
    <cfRule type="cellIs" dxfId="0" priority="1" operator="equal">
      <formula>"400:00:00"</formula>
    </cfRule>
  </conditionalFormatting>
  <conditionalFormatting sqref="U34">
    <cfRule type="cellIs" dxfId="1" priority="2" operator="equal">
      <formula>"1200:00:00.000"</formula>
    </cfRule>
  </conditionalFormatting>
  <conditionalFormatting sqref="U34">
    <cfRule type="cellIs" dxfId="2" priority="3" operator="notEqual">
      <formula>"1200:00:00.000"</formula>
    </cfRule>
  </conditionalFormatting>
  <conditionalFormatting sqref="U32">
    <cfRule type="cellIs" dxfId="1" priority="4" operator="equal">
      <formula>"800:00:00.000"</formula>
    </cfRule>
  </conditionalFormatting>
  <conditionalFormatting sqref="U32">
    <cfRule type="cellIs" dxfId="3" priority="5" operator="notEqual">
      <formula>"800:00:00"</formula>
    </cfRule>
  </conditionalFormatting>
  <printOptions horizontalCentered="1"/>
  <pageMargins bottom="0.5" footer="0.0" header="0.0" left="0.5" right="0.5" top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8" width="6.71"/>
    <col customWidth="1" min="9" max="9" width="4.71"/>
    <col customWidth="1" min="10" max="16" width="6.71"/>
    <col customWidth="1" min="17" max="17" width="3.86"/>
    <col customWidth="1" min="18" max="18" width="8.71"/>
    <col customWidth="1" min="19" max="19" width="5.86"/>
    <col customWidth="1" min="20" max="20" width="17.14"/>
    <col customWidth="1" min="21" max="21" width="9.43"/>
    <col customWidth="1" min="22" max="22" width="8.14"/>
    <col customWidth="1" min="23" max="23" width="16.71"/>
    <col customWidth="1" min="24" max="24" width="19.29"/>
    <col customWidth="1" min="25" max="31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2"/>
      <c r="S1" s="2"/>
      <c r="T1" s="2"/>
      <c r="U1" s="2"/>
      <c r="V1" s="2"/>
      <c r="W1" s="2"/>
      <c r="X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2"/>
      <c r="S2" s="2"/>
      <c r="T2" s="2"/>
      <c r="U2" s="2"/>
      <c r="V2" s="2"/>
      <c r="W2" s="2"/>
      <c r="X2" s="2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2"/>
      <c r="S3" s="2"/>
      <c r="T3" s="2"/>
      <c r="U3" s="2"/>
      <c r="V3" s="2"/>
      <c r="W3" s="2"/>
      <c r="X3" s="2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2"/>
      <c r="S4" s="2"/>
      <c r="T4" s="2"/>
      <c r="U4" s="2"/>
      <c r="V4" s="2"/>
      <c r="W4" s="2"/>
      <c r="X4" s="2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2"/>
      <c r="S5" s="2"/>
      <c r="T5" s="2"/>
      <c r="U5" s="2"/>
      <c r="V5" s="2"/>
      <c r="W5" s="2"/>
      <c r="X5" s="2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2"/>
      <c r="S6" s="2"/>
      <c r="T6" s="2"/>
      <c r="U6" s="2"/>
      <c r="V6" s="2"/>
      <c r="W6" s="2"/>
      <c r="X6" s="2"/>
    </row>
    <row r="7">
      <c r="B7" s="4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2"/>
      <c r="S7" s="2"/>
      <c r="T7" s="2"/>
      <c r="U7" s="2"/>
      <c r="V7" s="2"/>
      <c r="W7" s="2"/>
      <c r="X7" s="2"/>
    </row>
    <row r="8"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2"/>
      <c r="S8" s="2"/>
      <c r="T8" s="2"/>
      <c r="U8" s="2"/>
      <c r="V8" s="2"/>
      <c r="W8" s="2"/>
      <c r="X8" s="2"/>
    </row>
    <row r="9"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2"/>
      <c r="S9" s="2"/>
      <c r="T9" s="2"/>
      <c r="U9" s="2"/>
      <c r="V9" s="2"/>
      <c r="W9" s="2"/>
      <c r="X9" s="2"/>
    </row>
    <row r="10">
      <c r="B10" s="1"/>
      <c r="D10" s="1"/>
      <c r="R10" s="2"/>
      <c r="S10" s="2"/>
      <c r="T10" s="2"/>
      <c r="U10" s="2"/>
      <c r="V10" s="2"/>
      <c r="W10" s="2"/>
      <c r="X10" s="2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2"/>
      <c r="S11" s="2"/>
      <c r="T11" s="2"/>
      <c r="U11" s="2"/>
      <c r="V11" s="2"/>
      <c r="W11" s="2"/>
      <c r="X11" s="2"/>
    </row>
    <row r="12">
      <c r="B12" s="5"/>
      <c r="C12" s="6"/>
      <c r="D12" s="7" t="s">
        <v>48</v>
      </c>
      <c r="E12" s="8"/>
      <c r="F12" s="8"/>
      <c r="G12" s="6"/>
      <c r="H12" s="9"/>
      <c r="J12" s="10"/>
      <c r="K12" s="6"/>
      <c r="L12" s="7" t="s">
        <v>49</v>
      </c>
      <c r="M12" s="8"/>
      <c r="N12" s="8"/>
      <c r="O12" s="6"/>
      <c r="P12" s="11"/>
      <c r="R12" s="12"/>
      <c r="S12" s="13" t="s">
        <v>2</v>
      </c>
      <c r="T12" s="14"/>
      <c r="U12" s="14"/>
      <c r="V12" s="14"/>
      <c r="W12" s="14"/>
      <c r="X12" s="14"/>
    </row>
    <row r="13">
      <c r="B13" s="15" t="s">
        <v>3</v>
      </c>
      <c r="C13" s="16" t="s">
        <v>4</v>
      </c>
      <c r="D13" s="16" t="s">
        <v>5</v>
      </c>
      <c r="E13" s="16" t="s">
        <v>6</v>
      </c>
      <c r="F13" s="16" t="s">
        <v>7</v>
      </c>
      <c r="G13" s="16" t="s">
        <v>8</v>
      </c>
      <c r="H13" s="17" t="s">
        <v>9</v>
      </c>
      <c r="J13" s="15" t="s">
        <v>3</v>
      </c>
      <c r="K13" s="16" t="s">
        <v>4</v>
      </c>
      <c r="L13" s="16" t="s">
        <v>5</v>
      </c>
      <c r="M13" s="16" t="s">
        <v>6</v>
      </c>
      <c r="N13" s="16" t="s">
        <v>7</v>
      </c>
      <c r="O13" s="16" t="s">
        <v>8</v>
      </c>
      <c r="P13" s="17" t="s">
        <v>9</v>
      </c>
      <c r="R13" s="12"/>
      <c r="S13" s="14"/>
      <c r="T13" s="14"/>
      <c r="U13" s="14"/>
      <c r="V13" s="14"/>
      <c r="W13" s="14"/>
      <c r="X13" s="14"/>
    </row>
    <row r="14">
      <c r="B14" s="18"/>
      <c r="C14" s="18"/>
      <c r="D14" s="18"/>
      <c r="E14" s="19">
        <v>45658.0</v>
      </c>
      <c r="F14" s="87">
        <v>45659.0</v>
      </c>
      <c r="G14" s="87">
        <v>45660.0</v>
      </c>
      <c r="H14" s="19">
        <v>45661.0</v>
      </c>
      <c r="J14" s="30"/>
      <c r="K14" s="30"/>
      <c r="L14" s="30"/>
      <c r="M14" s="30"/>
      <c r="N14" s="30"/>
      <c r="O14" s="30"/>
      <c r="P14" s="50">
        <v>45689.0</v>
      </c>
      <c r="R14" s="12"/>
      <c r="S14" s="25"/>
      <c r="T14" s="14" t="s">
        <v>10</v>
      </c>
      <c r="U14" s="14"/>
      <c r="V14" s="14"/>
      <c r="W14" s="14"/>
      <c r="X14" s="14"/>
      <c r="Z14" s="26" t="s">
        <v>11</v>
      </c>
    </row>
    <row r="15">
      <c r="B15" s="19">
        <v>45662.0</v>
      </c>
      <c r="C15" s="87">
        <v>45663.0</v>
      </c>
      <c r="D15" s="87">
        <v>45664.0</v>
      </c>
      <c r="E15" s="87">
        <v>45665.0</v>
      </c>
      <c r="F15" s="87">
        <v>45666.0</v>
      </c>
      <c r="G15" s="87">
        <v>45667.0</v>
      </c>
      <c r="H15" s="19">
        <v>45668.0</v>
      </c>
      <c r="J15" s="50">
        <v>45690.0</v>
      </c>
      <c r="K15" s="88">
        <v>45691.0</v>
      </c>
      <c r="L15" s="88">
        <v>45692.0</v>
      </c>
      <c r="M15" s="89">
        <v>45693.0</v>
      </c>
      <c r="N15" s="88">
        <v>45694.0</v>
      </c>
      <c r="O15" s="89">
        <v>45695.0</v>
      </c>
      <c r="P15" s="50">
        <v>45696.0</v>
      </c>
      <c r="Q15" s="27" t="s">
        <v>12</v>
      </c>
      <c r="R15" s="12"/>
      <c r="S15" s="14"/>
      <c r="T15" s="14"/>
      <c r="U15" s="14"/>
      <c r="V15" s="14"/>
      <c r="W15" s="14"/>
      <c r="X15" s="14"/>
      <c r="Z15" s="2"/>
    </row>
    <row r="16">
      <c r="B16" s="19">
        <v>45669.0</v>
      </c>
      <c r="C16" s="87">
        <v>45670.0</v>
      </c>
      <c r="D16" s="87">
        <v>45671.0</v>
      </c>
      <c r="E16" s="87">
        <v>45672.0</v>
      </c>
      <c r="F16" s="87">
        <v>45673.0</v>
      </c>
      <c r="G16" s="87">
        <v>45674.0</v>
      </c>
      <c r="H16" s="19">
        <v>45675.0</v>
      </c>
      <c r="J16" s="50">
        <v>45697.0</v>
      </c>
      <c r="K16" s="88">
        <v>45698.0</v>
      </c>
      <c r="L16" s="88">
        <v>45699.0</v>
      </c>
      <c r="M16" s="89">
        <v>45700.0</v>
      </c>
      <c r="N16" s="88">
        <v>45701.0</v>
      </c>
      <c r="O16" s="89">
        <v>45702.0</v>
      </c>
      <c r="P16" s="50">
        <v>45703.0</v>
      </c>
      <c r="R16" s="12"/>
      <c r="S16" s="28"/>
      <c r="T16" s="14" t="s">
        <v>13</v>
      </c>
      <c r="U16" s="14"/>
      <c r="V16" s="14"/>
      <c r="W16" s="14"/>
      <c r="X16" s="14"/>
      <c r="Z16" s="26" t="s">
        <v>14</v>
      </c>
    </row>
    <row r="17">
      <c r="B17" s="19">
        <v>45676.0</v>
      </c>
      <c r="C17" s="87">
        <v>45677.0</v>
      </c>
      <c r="D17" s="87">
        <v>45678.0</v>
      </c>
      <c r="E17" s="87">
        <v>45679.0</v>
      </c>
      <c r="F17" s="87">
        <v>45680.0</v>
      </c>
      <c r="G17" s="87">
        <v>45681.0</v>
      </c>
      <c r="H17" s="19">
        <v>45682.0</v>
      </c>
      <c r="J17" s="50">
        <v>45704.0</v>
      </c>
      <c r="K17" s="88">
        <v>45705.0</v>
      </c>
      <c r="L17" s="88">
        <v>45706.0</v>
      </c>
      <c r="M17" s="89">
        <v>45707.0</v>
      </c>
      <c r="N17" s="88">
        <v>45708.0</v>
      </c>
      <c r="O17" s="89">
        <v>45709.0</v>
      </c>
      <c r="P17" s="50">
        <v>45710.0</v>
      </c>
      <c r="R17" s="12"/>
      <c r="S17" s="14"/>
      <c r="T17" s="14"/>
      <c r="U17" s="14"/>
      <c r="V17" s="14"/>
      <c r="W17" s="14"/>
      <c r="X17" s="14"/>
      <c r="Z17" s="2"/>
    </row>
    <row r="18">
      <c r="B18" s="50">
        <v>45683.0</v>
      </c>
      <c r="C18" s="49">
        <v>45684.0</v>
      </c>
      <c r="D18" s="49">
        <v>45685.0</v>
      </c>
      <c r="E18" s="49">
        <v>45686.0</v>
      </c>
      <c r="F18" s="49">
        <v>45687.0</v>
      </c>
      <c r="G18" s="49">
        <v>45688.0</v>
      </c>
      <c r="H18" s="90"/>
      <c r="J18" s="50">
        <v>45711.0</v>
      </c>
      <c r="K18" s="88">
        <v>45712.0</v>
      </c>
      <c r="L18" s="88">
        <v>45713.0</v>
      </c>
      <c r="M18" s="89">
        <v>45714.0</v>
      </c>
      <c r="N18" s="88">
        <v>45715.0</v>
      </c>
      <c r="O18" s="89">
        <v>45716.0</v>
      </c>
      <c r="P18" s="30"/>
      <c r="R18" s="12"/>
      <c r="S18" s="31"/>
      <c r="T18" s="14" t="s">
        <v>15</v>
      </c>
      <c r="U18" s="14"/>
      <c r="V18" s="14"/>
      <c r="W18" s="14"/>
      <c r="X18" s="14"/>
      <c r="Z18" s="26" t="s">
        <v>16</v>
      </c>
    </row>
    <row r="19">
      <c r="B19" s="32"/>
      <c r="C19" s="32"/>
      <c r="D19" s="32"/>
      <c r="E19" s="33"/>
      <c r="F19" s="33"/>
      <c r="G19" s="33"/>
      <c r="H19" s="33"/>
      <c r="J19" s="32"/>
      <c r="K19" s="32"/>
      <c r="L19" s="32"/>
      <c r="M19" s="34" t="s">
        <v>17</v>
      </c>
      <c r="O19" s="35">
        <f>"1:40"*12+"2:30"*8</f>
        <v>1.666666667</v>
      </c>
      <c r="P19" s="33"/>
      <c r="R19" s="12"/>
      <c r="S19" s="14"/>
      <c r="T19" s="14"/>
      <c r="U19" s="14"/>
      <c r="V19" s="14"/>
      <c r="W19" s="14"/>
      <c r="X19" s="14"/>
      <c r="Z19" s="2"/>
    </row>
    <row r="20">
      <c r="B20" s="36"/>
      <c r="C20" s="36"/>
      <c r="D20" s="36"/>
      <c r="E20" s="36"/>
      <c r="F20" s="36"/>
      <c r="G20" s="36"/>
      <c r="H20" s="36"/>
      <c r="J20" s="36"/>
      <c r="K20" s="36"/>
      <c r="L20" s="36"/>
      <c r="M20" s="37" t="s">
        <v>18</v>
      </c>
      <c r="N20" s="38"/>
      <c r="O20" s="39">
        <f>"4:00"*20</f>
        <v>3.333333333</v>
      </c>
      <c r="P20" s="36"/>
      <c r="R20" s="12"/>
      <c r="S20" s="40"/>
      <c r="T20" s="41" t="s">
        <v>19</v>
      </c>
      <c r="U20" s="14"/>
      <c r="V20" s="14"/>
      <c r="W20" s="14"/>
      <c r="X20" s="14"/>
      <c r="Z20" s="26" t="s">
        <v>20</v>
      </c>
    </row>
    <row r="21">
      <c r="B21" s="42"/>
      <c r="C21" s="43"/>
      <c r="D21" s="44" t="s">
        <v>50</v>
      </c>
      <c r="E21" s="45"/>
      <c r="F21" s="45"/>
      <c r="G21" s="43"/>
      <c r="H21" s="46"/>
      <c r="J21" s="42"/>
      <c r="K21" s="43"/>
      <c r="L21" s="44" t="s">
        <v>51</v>
      </c>
      <c r="M21" s="45"/>
      <c r="N21" s="45"/>
      <c r="O21" s="43"/>
      <c r="P21" s="46"/>
      <c r="R21" s="12"/>
      <c r="S21" s="14"/>
      <c r="T21" s="14"/>
      <c r="U21" s="14"/>
      <c r="V21" s="14"/>
      <c r="W21" s="2"/>
      <c r="X21" s="2"/>
    </row>
    <row r="22">
      <c r="B22" s="15" t="s">
        <v>3</v>
      </c>
      <c r="C22" s="16" t="s">
        <v>4</v>
      </c>
      <c r="D22" s="16" t="s">
        <v>5</v>
      </c>
      <c r="E22" s="16" t="s">
        <v>6</v>
      </c>
      <c r="F22" s="16" t="s">
        <v>7</v>
      </c>
      <c r="G22" s="16" t="s">
        <v>8</v>
      </c>
      <c r="H22" s="17" t="s">
        <v>9</v>
      </c>
      <c r="J22" s="15" t="s">
        <v>3</v>
      </c>
      <c r="K22" s="16" t="s">
        <v>4</v>
      </c>
      <c r="L22" s="16" t="s">
        <v>5</v>
      </c>
      <c r="M22" s="16" t="s">
        <v>6</v>
      </c>
      <c r="N22" s="16" t="s">
        <v>7</v>
      </c>
      <c r="O22" s="16" t="s">
        <v>8</v>
      </c>
      <c r="P22" s="17" t="s">
        <v>9</v>
      </c>
      <c r="R22" s="12"/>
      <c r="S22" s="47"/>
      <c r="T22" s="48" t="s">
        <v>23</v>
      </c>
      <c r="U22" s="14"/>
      <c r="V22" s="14"/>
      <c r="W22" s="2"/>
      <c r="X22" s="2"/>
    </row>
    <row r="23">
      <c r="B23" s="30"/>
      <c r="C23" s="74"/>
      <c r="D23" s="74"/>
      <c r="E23" s="74"/>
      <c r="F23" s="66"/>
      <c r="G23" s="66"/>
      <c r="H23" s="50">
        <v>45717.0</v>
      </c>
      <c r="J23" s="30"/>
      <c r="K23" s="30"/>
      <c r="L23" s="49">
        <v>45748.0</v>
      </c>
      <c r="M23" s="49">
        <v>45749.0</v>
      </c>
      <c r="N23" s="49">
        <v>45750.0</v>
      </c>
      <c r="O23" s="49">
        <v>45751.0</v>
      </c>
      <c r="P23" s="50">
        <v>45752.0</v>
      </c>
      <c r="R23" s="12"/>
      <c r="S23" s="2"/>
      <c r="T23" s="2"/>
      <c r="U23" s="14"/>
      <c r="V23" s="14"/>
      <c r="W23" s="2"/>
      <c r="X23" s="2"/>
    </row>
    <row r="24">
      <c r="B24" s="50">
        <v>45718.0</v>
      </c>
      <c r="C24" s="50">
        <v>45719.0</v>
      </c>
      <c r="D24" s="50">
        <v>45720.0</v>
      </c>
      <c r="E24" s="50">
        <v>45721.0</v>
      </c>
      <c r="F24" s="88">
        <v>45722.0</v>
      </c>
      <c r="G24" s="89">
        <v>45723.0</v>
      </c>
      <c r="H24" s="50">
        <v>45724.0</v>
      </c>
      <c r="I24" s="51"/>
      <c r="J24" s="50">
        <v>45753.0</v>
      </c>
      <c r="K24" s="49">
        <v>45754.0</v>
      </c>
      <c r="L24" s="49">
        <v>45755.0</v>
      </c>
      <c r="M24" s="49">
        <v>45756.0</v>
      </c>
      <c r="N24" s="49">
        <v>45757.0</v>
      </c>
      <c r="O24" s="49">
        <v>45758.0</v>
      </c>
      <c r="P24" s="50">
        <v>45759.0</v>
      </c>
      <c r="R24" s="12"/>
      <c r="S24" s="52"/>
      <c r="T24" s="53" t="s">
        <v>24</v>
      </c>
      <c r="X24" s="2"/>
    </row>
    <row r="25">
      <c r="B25" s="50">
        <v>45725.0</v>
      </c>
      <c r="C25" s="88">
        <v>45726.0</v>
      </c>
      <c r="D25" s="88">
        <v>45727.0</v>
      </c>
      <c r="E25" s="89">
        <v>45728.0</v>
      </c>
      <c r="F25" s="88">
        <v>45729.0</v>
      </c>
      <c r="G25" s="89">
        <v>45730.0</v>
      </c>
      <c r="H25" s="50">
        <v>45731.0</v>
      </c>
      <c r="I25" s="51"/>
      <c r="J25" s="50">
        <v>45760.0</v>
      </c>
      <c r="K25" s="49">
        <v>45761.0</v>
      </c>
      <c r="L25" s="49">
        <v>45762.0</v>
      </c>
      <c r="M25" s="49">
        <v>45763.0</v>
      </c>
      <c r="N25" s="49">
        <v>45764.0</v>
      </c>
      <c r="O25" s="50">
        <v>45765.0</v>
      </c>
      <c r="P25" s="50">
        <v>45766.0</v>
      </c>
      <c r="R25" s="12"/>
      <c r="S25" s="14"/>
      <c r="X25" s="2"/>
    </row>
    <row r="26">
      <c r="B26" s="50">
        <v>45732.0</v>
      </c>
      <c r="C26" s="88">
        <v>45733.0</v>
      </c>
      <c r="D26" s="88">
        <v>45734.0</v>
      </c>
      <c r="E26" s="89">
        <v>45735.0</v>
      </c>
      <c r="F26" s="88">
        <v>45736.0</v>
      </c>
      <c r="G26" s="89">
        <v>45737.0</v>
      </c>
      <c r="H26" s="50">
        <v>45738.0</v>
      </c>
      <c r="I26" s="51"/>
      <c r="J26" s="50">
        <v>45767.0</v>
      </c>
      <c r="K26" s="50">
        <v>45768.0</v>
      </c>
      <c r="L26" s="49">
        <v>45769.0</v>
      </c>
      <c r="M26" s="49">
        <v>45770.0</v>
      </c>
      <c r="N26" s="49">
        <v>45771.0</v>
      </c>
      <c r="O26" s="49">
        <v>45772.0</v>
      </c>
      <c r="P26" s="50">
        <v>45773.0</v>
      </c>
      <c r="R26" s="54"/>
      <c r="S26" s="55"/>
      <c r="T26" s="53" t="s">
        <v>25</v>
      </c>
      <c r="U26" s="14"/>
      <c r="V26" s="14"/>
      <c r="W26" s="14"/>
      <c r="X26" s="14"/>
    </row>
    <row r="27">
      <c r="B27" s="50">
        <v>45739.0</v>
      </c>
      <c r="C27" s="88">
        <v>45740.0</v>
      </c>
      <c r="D27" s="88">
        <v>45741.0</v>
      </c>
      <c r="E27" s="89">
        <v>45742.0</v>
      </c>
      <c r="F27" s="88">
        <v>45743.0</v>
      </c>
      <c r="G27" s="89">
        <v>45744.0</v>
      </c>
      <c r="H27" s="50">
        <v>45745.0</v>
      </c>
      <c r="I27" s="51"/>
      <c r="J27" s="50">
        <v>45774.0</v>
      </c>
      <c r="K27" s="49">
        <v>45775.0</v>
      </c>
      <c r="L27" s="49">
        <v>45776.0</v>
      </c>
      <c r="M27" s="49">
        <v>45777.0</v>
      </c>
      <c r="N27" s="56"/>
      <c r="O27" s="56"/>
      <c r="P27" s="57"/>
      <c r="R27" s="54"/>
      <c r="S27" s="14"/>
      <c r="T27" s="2"/>
      <c r="U27" s="14"/>
      <c r="V27" s="14"/>
      <c r="W27" s="14"/>
      <c r="X27" s="14"/>
    </row>
    <row r="28">
      <c r="B28" s="50">
        <v>45746.0</v>
      </c>
      <c r="C28" s="88">
        <v>45747.0</v>
      </c>
      <c r="D28" s="56"/>
      <c r="E28" s="56"/>
      <c r="F28" s="56"/>
      <c r="G28" s="56"/>
      <c r="H28" s="57"/>
      <c r="J28" s="36"/>
      <c r="K28" s="36"/>
      <c r="L28" s="36"/>
      <c r="M28" s="36"/>
      <c r="N28" s="34" t="s">
        <v>17</v>
      </c>
      <c r="P28" s="58"/>
      <c r="R28" s="54"/>
      <c r="S28" s="59"/>
      <c r="T28" s="53" t="s">
        <v>52</v>
      </c>
      <c r="U28" s="14"/>
      <c r="V28" s="14"/>
      <c r="W28" s="14"/>
      <c r="X28" s="14"/>
    </row>
    <row r="29">
      <c r="B29" s="36"/>
      <c r="C29" s="36"/>
      <c r="D29" s="36"/>
      <c r="E29" s="34" t="s">
        <v>17</v>
      </c>
      <c r="G29" s="35"/>
      <c r="H29" s="36"/>
      <c r="N29" s="37" t="s">
        <v>18</v>
      </c>
      <c r="O29" s="38"/>
      <c r="P29" s="39"/>
      <c r="R29" s="54"/>
      <c r="S29" s="2"/>
      <c r="T29" s="54"/>
      <c r="U29" s="61"/>
      <c r="V29" s="14"/>
      <c r="W29" s="14"/>
      <c r="X29" s="14"/>
    </row>
    <row r="30">
      <c r="B30" s="36"/>
      <c r="C30" s="36"/>
      <c r="D30" s="36"/>
      <c r="E30" s="37" t="s">
        <v>18</v>
      </c>
      <c r="F30" s="38"/>
      <c r="G30" s="60"/>
      <c r="H30" s="36"/>
      <c r="J30" s="32"/>
      <c r="K30" s="33"/>
      <c r="L30" s="33"/>
      <c r="M30" s="33"/>
      <c r="R30" s="54"/>
      <c r="S30" s="2"/>
      <c r="T30" s="54"/>
      <c r="U30" s="61"/>
      <c r="V30" s="14"/>
      <c r="W30" s="14"/>
      <c r="X30" s="14"/>
    </row>
    <row r="31" ht="15.75" customHeight="1">
      <c r="J31" s="36"/>
      <c r="K31" s="36"/>
      <c r="L31" s="36"/>
      <c r="M31" s="36"/>
      <c r="R31" s="54"/>
      <c r="S31" s="2"/>
      <c r="T31" s="62" t="s">
        <v>27</v>
      </c>
      <c r="U31" s="63">
        <f>SUM(O19+G29+P28+H39+P39+H49+O50+H59+P59+H71+P70)</f>
        <v>1.666666667</v>
      </c>
      <c r="V31" s="14"/>
      <c r="W31" s="14"/>
      <c r="X31" s="14"/>
    </row>
    <row r="32" ht="15.75" customHeight="1">
      <c r="B32" s="42"/>
      <c r="C32" s="43"/>
      <c r="D32" s="64" t="s">
        <v>53</v>
      </c>
      <c r="E32" s="65"/>
      <c r="F32" s="65"/>
      <c r="G32" s="43"/>
      <c r="H32" s="46"/>
      <c r="J32" s="42"/>
      <c r="K32" s="43"/>
      <c r="L32" s="64" t="s">
        <v>54</v>
      </c>
      <c r="M32" s="65"/>
      <c r="N32" s="65"/>
      <c r="O32" s="43"/>
      <c r="P32" s="46"/>
      <c r="R32" s="54"/>
      <c r="S32" s="2"/>
      <c r="T32" s="14"/>
      <c r="U32" s="61"/>
      <c r="V32" s="14"/>
      <c r="W32" s="14"/>
      <c r="X32" s="14"/>
    </row>
    <row r="33" ht="15.75" customHeight="1">
      <c r="B33" s="15" t="s">
        <v>3</v>
      </c>
      <c r="C33" s="16" t="s">
        <v>4</v>
      </c>
      <c r="D33" s="16" t="s">
        <v>5</v>
      </c>
      <c r="E33" s="16" t="s">
        <v>6</v>
      </c>
      <c r="F33" s="16" t="s">
        <v>7</v>
      </c>
      <c r="G33" s="16" t="s">
        <v>8</v>
      </c>
      <c r="H33" s="17" t="s">
        <v>9</v>
      </c>
      <c r="J33" s="15" t="s">
        <v>3</v>
      </c>
      <c r="K33" s="16" t="s">
        <v>4</v>
      </c>
      <c r="L33" s="16" t="s">
        <v>5</v>
      </c>
      <c r="M33" s="16" t="s">
        <v>6</v>
      </c>
      <c r="N33" s="16" t="s">
        <v>7</v>
      </c>
      <c r="O33" s="16" t="s">
        <v>8</v>
      </c>
      <c r="P33" s="17" t="s">
        <v>9</v>
      </c>
      <c r="R33" s="54"/>
      <c r="S33" s="2"/>
      <c r="T33" s="62" t="s">
        <v>30</v>
      </c>
      <c r="U33" s="63">
        <f>SUM(O20+G30+P29+H40+P40+H50+O51+H60+P60+H72+P71)</f>
        <v>3.333333333</v>
      </c>
      <c r="V33" s="14"/>
      <c r="W33" s="14"/>
      <c r="X33" s="14"/>
    </row>
    <row r="34" ht="15.75" customHeight="1">
      <c r="B34" s="30"/>
      <c r="C34" s="74"/>
      <c r="D34" s="74"/>
      <c r="E34" s="74"/>
      <c r="F34" s="50">
        <v>45778.0</v>
      </c>
      <c r="G34" s="49">
        <v>45779.0</v>
      </c>
      <c r="H34" s="50">
        <v>45780.0</v>
      </c>
      <c r="J34" s="50">
        <v>45809.0</v>
      </c>
      <c r="K34" s="49">
        <v>45810.0</v>
      </c>
      <c r="L34" s="49">
        <v>45811.0</v>
      </c>
      <c r="M34" s="49">
        <v>45812.0</v>
      </c>
      <c r="N34" s="49">
        <v>45813.0</v>
      </c>
      <c r="O34" s="49">
        <v>45814.0</v>
      </c>
      <c r="P34" s="50">
        <v>45815.0</v>
      </c>
      <c r="R34" s="54"/>
      <c r="S34" s="2"/>
      <c r="T34" s="26"/>
      <c r="U34" s="26"/>
      <c r="V34" s="2"/>
      <c r="W34" s="67"/>
      <c r="X34" s="67"/>
    </row>
    <row r="35" ht="15.75" customHeight="1">
      <c r="B35" s="50">
        <v>45781.0</v>
      </c>
      <c r="C35" s="49">
        <v>45782.0</v>
      </c>
      <c r="D35" s="49">
        <v>45783.0</v>
      </c>
      <c r="E35" s="49">
        <v>45784.0</v>
      </c>
      <c r="F35" s="49">
        <v>45785.0</v>
      </c>
      <c r="G35" s="49">
        <v>45786.0</v>
      </c>
      <c r="H35" s="50">
        <v>45787.0</v>
      </c>
      <c r="I35" s="67"/>
      <c r="J35" s="50">
        <v>45816.0</v>
      </c>
      <c r="K35" s="49">
        <v>45817.0</v>
      </c>
      <c r="L35" s="49">
        <v>45818.0</v>
      </c>
      <c r="M35" s="49">
        <v>45819.0</v>
      </c>
      <c r="N35" s="49">
        <v>45820.0</v>
      </c>
      <c r="O35" s="49">
        <v>45821.0</v>
      </c>
      <c r="P35" s="50">
        <v>45822.0</v>
      </c>
      <c r="R35" s="54"/>
      <c r="S35" s="2"/>
      <c r="T35" s="68" t="s">
        <v>31</v>
      </c>
      <c r="U35" s="63">
        <f>SUM(U31+U33)</f>
        <v>5</v>
      </c>
      <c r="V35" s="2"/>
    </row>
    <row r="36" ht="15.75" customHeight="1">
      <c r="B36" s="50">
        <v>45788.0</v>
      </c>
      <c r="C36" s="49">
        <v>45789.0</v>
      </c>
      <c r="D36" s="49">
        <v>45790.0</v>
      </c>
      <c r="E36" s="49">
        <v>45791.0</v>
      </c>
      <c r="F36" s="49">
        <v>45792.0</v>
      </c>
      <c r="G36" s="49">
        <v>45793.0</v>
      </c>
      <c r="H36" s="50">
        <v>45794.0</v>
      </c>
      <c r="I36" s="67"/>
      <c r="J36" s="50">
        <v>45823.0</v>
      </c>
      <c r="K36" s="49">
        <v>45824.0</v>
      </c>
      <c r="L36" s="49">
        <v>45825.0</v>
      </c>
      <c r="M36" s="49">
        <v>45826.0</v>
      </c>
      <c r="N36" s="49">
        <v>45827.0</v>
      </c>
      <c r="O36" s="49">
        <v>45828.0</v>
      </c>
      <c r="P36" s="50">
        <v>45829.0</v>
      </c>
      <c r="R36" s="54"/>
      <c r="S36" s="2"/>
      <c r="T36" s="2"/>
      <c r="U36" s="2"/>
      <c r="V36" s="2"/>
    </row>
    <row r="37" ht="15.75" customHeight="1">
      <c r="B37" s="50">
        <v>45795.0</v>
      </c>
      <c r="C37" s="49">
        <v>45796.0</v>
      </c>
      <c r="D37" s="49">
        <v>45797.0</v>
      </c>
      <c r="E37" s="49">
        <v>45798.0</v>
      </c>
      <c r="F37" s="49">
        <v>45799.0</v>
      </c>
      <c r="G37" s="49">
        <v>45800.0</v>
      </c>
      <c r="H37" s="50">
        <v>45801.0</v>
      </c>
      <c r="I37" s="67"/>
      <c r="J37" s="50">
        <v>45830.0</v>
      </c>
      <c r="K37" s="49">
        <v>45831.0</v>
      </c>
      <c r="L37" s="50">
        <v>45832.0</v>
      </c>
      <c r="M37" s="49">
        <v>45833.0</v>
      </c>
      <c r="N37" s="49">
        <v>45834.0</v>
      </c>
      <c r="O37" s="49">
        <v>45835.0</v>
      </c>
      <c r="P37" s="50">
        <v>45836.0</v>
      </c>
      <c r="R37" s="54"/>
      <c r="S37" s="69"/>
      <c r="T37" s="2"/>
      <c r="U37" s="2"/>
      <c r="V37" s="2"/>
      <c r="W37" s="2"/>
      <c r="X37" s="2"/>
    </row>
    <row r="38" ht="15.75" customHeight="1">
      <c r="B38" s="50">
        <v>45802.0</v>
      </c>
      <c r="C38" s="49">
        <v>45803.0</v>
      </c>
      <c r="D38" s="49">
        <v>45804.0</v>
      </c>
      <c r="E38" s="49">
        <v>45805.0</v>
      </c>
      <c r="F38" s="49">
        <v>45806.0</v>
      </c>
      <c r="G38" s="49">
        <v>45807.0</v>
      </c>
      <c r="H38" s="50">
        <v>45808.0</v>
      </c>
      <c r="J38" s="50">
        <v>45837.0</v>
      </c>
      <c r="K38" s="49">
        <v>45838.0</v>
      </c>
      <c r="L38" s="91"/>
      <c r="M38" s="91"/>
      <c r="N38" s="91"/>
      <c r="O38" s="91"/>
      <c r="P38" s="91"/>
      <c r="R38" s="54"/>
      <c r="S38" s="70" t="s">
        <v>32</v>
      </c>
      <c r="T38" s="2"/>
      <c r="U38" s="2"/>
      <c r="V38" s="2"/>
      <c r="W38" s="2"/>
      <c r="X38" s="2"/>
    </row>
    <row r="39" ht="15.75" customHeight="1">
      <c r="B39" s="32"/>
      <c r="C39" s="32"/>
      <c r="D39" s="32"/>
      <c r="E39" s="32"/>
      <c r="F39" s="34" t="s">
        <v>17</v>
      </c>
      <c r="H39" s="58"/>
      <c r="I39" s="67"/>
      <c r="N39" s="34" t="s">
        <v>17</v>
      </c>
      <c r="P39" s="58"/>
      <c r="R39" s="54"/>
      <c r="S39" s="71" t="s">
        <v>55</v>
      </c>
      <c r="T39" s="2"/>
      <c r="U39" s="2"/>
      <c r="V39" s="2"/>
      <c r="W39" s="2"/>
      <c r="X39" s="2"/>
    </row>
    <row r="40" ht="15.75" customHeight="1">
      <c r="B40" s="32"/>
      <c r="C40" s="32"/>
      <c r="D40" s="32"/>
      <c r="E40" s="32"/>
      <c r="F40" s="37" t="s">
        <v>18</v>
      </c>
      <c r="G40" s="38"/>
      <c r="H40" s="39"/>
      <c r="I40" s="67"/>
      <c r="J40" s="32"/>
      <c r="K40" s="32"/>
      <c r="L40" s="32"/>
      <c r="M40" s="32"/>
      <c r="N40" s="37" t="s">
        <v>18</v>
      </c>
      <c r="O40" s="38"/>
      <c r="P40" s="39"/>
      <c r="R40" s="54"/>
      <c r="S40" s="71" t="s">
        <v>56</v>
      </c>
      <c r="T40" s="2"/>
      <c r="U40" s="2"/>
      <c r="V40" s="2"/>
      <c r="W40" s="2"/>
      <c r="X40" s="2"/>
    </row>
    <row r="41" ht="15.75" customHeight="1">
      <c r="B41" s="36"/>
      <c r="C41" s="36"/>
      <c r="D41" s="36"/>
      <c r="E41" s="36"/>
      <c r="J41" s="36"/>
      <c r="K41" s="36"/>
      <c r="L41" s="36"/>
      <c r="M41" s="36"/>
      <c r="R41" s="54"/>
      <c r="S41" s="2"/>
      <c r="T41" s="2"/>
      <c r="U41" s="2"/>
      <c r="V41" s="2"/>
      <c r="W41" s="2"/>
      <c r="X41" s="2"/>
    </row>
    <row r="42" ht="15.75" customHeight="1">
      <c r="B42" s="42"/>
      <c r="C42" s="43"/>
      <c r="D42" s="64" t="s">
        <v>57</v>
      </c>
      <c r="E42" s="65"/>
      <c r="F42" s="65"/>
      <c r="G42" s="43"/>
      <c r="H42" s="46"/>
      <c r="J42" s="42"/>
      <c r="K42" s="43"/>
      <c r="L42" s="64" t="s">
        <v>58</v>
      </c>
      <c r="M42" s="65"/>
      <c r="N42" s="65"/>
      <c r="O42" s="43"/>
      <c r="P42" s="46"/>
      <c r="R42" s="54"/>
      <c r="S42" s="72" t="s">
        <v>37</v>
      </c>
    </row>
    <row r="43" ht="15.75" customHeight="1">
      <c r="B43" s="15" t="s">
        <v>3</v>
      </c>
      <c r="C43" s="16" t="s">
        <v>4</v>
      </c>
      <c r="D43" s="16" t="s">
        <v>5</v>
      </c>
      <c r="E43" s="16" t="s">
        <v>6</v>
      </c>
      <c r="F43" s="16" t="s">
        <v>7</v>
      </c>
      <c r="G43" s="16" t="s">
        <v>8</v>
      </c>
      <c r="H43" s="17" t="s">
        <v>9</v>
      </c>
      <c r="J43" s="15" t="s">
        <v>3</v>
      </c>
      <c r="K43" s="16" t="s">
        <v>4</v>
      </c>
      <c r="L43" s="16" t="s">
        <v>5</v>
      </c>
      <c r="M43" s="16" t="s">
        <v>6</v>
      </c>
      <c r="N43" s="16" t="s">
        <v>7</v>
      </c>
      <c r="O43" s="16" t="s">
        <v>8</v>
      </c>
      <c r="P43" s="17" t="s">
        <v>9</v>
      </c>
      <c r="R43" s="54"/>
      <c r="S43" s="73" t="s">
        <v>59</v>
      </c>
    </row>
    <row r="44" ht="15.75" customHeight="1">
      <c r="B44" s="30"/>
      <c r="C44" s="30"/>
      <c r="D44" s="92">
        <v>45839.0</v>
      </c>
      <c r="E44" s="92">
        <v>45840.0</v>
      </c>
      <c r="F44" s="92">
        <v>45841.0</v>
      </c>
      <c r="G44" s="92">
        <v>45842.0</v>
      </c>
      <c r="H44" s="50">
        <v>45843.0</v>
      </c>
      <c r="J44" s="30"/>
      <c r="K44" s="66"/>
      <c r="L44" s="66"/>
      <c r="M44" s="66"/>
      <c r="N44" s="66"/>
      <c r="O44" s="49">
        <v>45870.0</v>
      </c>
      <c r="P44" s="50">
        <v>45871.0</v>
      </c>
      <c r="R44" s="54"/>
      <c r="S44" s="75" t="s">
        <v>60</v>
      </c>
    </row>
    <row r="45" ht="15.75" customHeight="1">
      <c r="B45" s="50">
        <v>45844.0</v>
      </c>
      <c r="C45" s="92">
        <v>45845.0</v>
      </c>
      <c r="D45" s="92">
        <v>45846.0</v>
      </c>
      <c r="E45" s="92">
        <v>45847.0</v>
      </c>
      <c r="F45" s="92">
        <v>45848.0</v>
      </c>
      <c r="G45" s="92">
        <v>45849.0</v>
      </c>
      <c r="H45" s="50">
        <v>45850.0</v>
      </c>
      <c r="J45" s="50">
        <v>45872.0</v>
      </c>
      <c r="K45" s="49">
        <v>45873.0</v>
      </c>
      <c r="L45" s="49">
        <v>45874.0</v>
      </c>
      <c r="M45" s="49">
        <v>45875.0</v>
      </c>
      <c r="N45" s="49">
        <v>45876.0</v>
      </c>
      <c r="O45" s="49">
        <v>45877.0</v>
      </c>
      <c r="P45" s="50">
        <v>45878.0</v>
      </c>
      <c r="R45" s="54"/>
    </row>
    <row r="46" ht="15.75" customHeight="1">
      <c r="B46" s="50">
        <v>45851.0</v>
      </c>
      <c r="C46" s="92">
        <v>45852.0</v>
      </c>
      <c r="D46" s="92">
        <v>45853.0</v>
      </c>
      <c r="E46" s="92">
        <v>45854.0</v>
      </c>
      <c r="F46" s="92">
        <v>45855.0</v>
      </c>
      <c r="G46" s="92">
        <v>45856.0</v>
      </c>
      <c r="H46" s="50">
        <v>45857.0</v>
      </c>
      <c r="J46" s="50">
        <v>45879.0</v>
      </c>
      <c r="K46" s="49">
        <v>45880.0</v>
      </c>
      <c r="L46" s="49">
        <v>45881.0</v>
      </c>
      <c r="M46" s="49">
        <v>45882.0</v>
      </c>
      <c r="N46" s="49">
        <v>45883.0</v>
      </c>
      <c r="O46" s="49">
        <v>45884.0</v>
      </c>
      <c r="P46" s="50">
        <v>45885.0</v>
      </c>
      <c r="R46" s="54"/>
      <c r="S46" s="73" t="s">
        <v>61</v>
      </c>
    </row>
    <row r="47" ht="15.75" customHeight="1">
      <c r="B47" s="50">
        <v>45858.0</v>
      </c>
      <c r="C47" s="49">
        <v>45859.0</v>
      </c>
      <c r="D47" s="49">
        <v>45860.0</v>
      </c>
      <c r="E47" s="49">
        <v>45861.0</v>
      </c>
      <c r="F47" s="49">
        <v>45862.0</v>
      </c>
      <c r="G47" s="49">
        <v>45863.0</v>
      </c>
      <c r="H47" s="50">
        <v>45864.0</v>
      </c>
      <c r="J47" s="50">
        <v>45886.0</v>
      </c>
      <c r="K47" s="49">
        <v>45887.0</v>
      </c>
      <c r="L47" s="49">
        <v>45888.0</v>
      </c>
      <c r="M47" s="49">
        <v>45889.0</v>
      </c>
      <c r="N47" s="49">
        <v>45890.0</v>
      </c>
      <c r="O47" s="49">
        <v>45891.0</v>
      </c>
      <c r="P47" s="50">
        <v>45892.0</v>
      </c>
      <c r="R47" s="54"/>
    </row>
    <row r="48" ht="15.75" customHeight="1">
      <c r="B48" s="50">
        <v>45865.0</v>
      </c>
      <c r="C48" s="49">
        <v>45866.0</v>
      </c>
      <c r="D48" s="49">
        <v>45867.0</v>
      </c>
      <c r="E48" s="49">
        <v>45868.0</v>
      </c>
      <c r="F48" s="49">
        <v>45869.0</v>
      </c>
      <c r="G48" s="30"/>
      <c r="H48" s="30"/>
      <c r="J48" s="50">
        <v>45893.0</v>
      </c>
      <c r="K48" s="49">
        <v>45894.0</v>
      </c>
      <c r="L48" s="49">
        <v>45895.0</v>
      </c>
      <c r="M48" s="49">
        <v>45896.0</v>
      </c>
      <c r="N48" s="49">
        <v>45897.0</v>
      </c>
      <c r="O48" s="49">
        <v>45898.0</v>
      </c>
      <c r="P48" s="50">
        <v>45899.0</v>
      </c>
      <c r="R48" s="54"/>
      <c r="S48" s="77" t="s">
        <v>62</v>
      </c>
    </row>
    <row r="49" ht="15.75" customHeight="1">
      <c r="A49" s="78"/>
      <c r="B49" s="79"/>
      <c r="C49" s="79"/>
      <c r="D49" s="80"/>
      <c r="E49" s="80"/>
      <c r="F49" s="34" t="s">
        <v>17</v>
      </c>
      <c r="H49" s="81"/>
      <c r="I49" s="78"/>
      <c r="J49" s="50">
        <v>45900.0</v>
      </c>
      <c r="K49" s="30"/>
      <c r="L49" s="30"/>
      <c r="M49" s="30"/>
      <c r="N49" s="30"/>
      <c r="O49" s="30"/>
      <c r="P49" s="30"/>
      <c r="R49" s="54"/>
    </row>
    <row r="50" ht="15.75" customHeight="1">
      <c r="A50" s="78"/>
      <c r="B50" s="82"/>
      <c r="C50" s="79"/>
      <c r="D50" s="80"/>
      <c r="E50" s="80"/>
      <c r="F50" s="37" t="s">
        <v>18</v>
      </c>
      <c r="G50" s="38"/>
      <c r="H50" s="83"/>
      <c r="I50" s="78"/>
      <c r="J50" s="84"/>
      <c r="K50" s="84"/>
      <c r="L50" s="84"/>
      <c r="M50" s="34" t="s">
        <v>17</v>
      </c>
      <c r="O50" s="81"/>
      <c r="P50" s="36"/>
      <c r="R50" s="54"/>
    </row>
    <row r="51" ht="15.75" customHeight="1">
      <c r="A51" s="78"/>
      <c r="B51" s="84"/>
      <c r="C51" s="84"/>
      <c r="D51" s="84"/>
      <c r="E51" s="84"/>
      <c r="F51" s="84"/>
      <c r="G51" s="84"/>
      <c r="H51" s="84"/>
      <c r="I51" s="78"/>
      <c r="J51" s="78"/>
      <c r="K51" s="78"/>
      <c r="L51" s="78"/>
      <c r="M51" s="37" t="s">
        <v>18</v>
      </c>
      <c r="N51" s="38"/>
      <c r="O51" s="83"/>
      <c r="P51" s="36"/>
      <c r="R51" s="54"/>
      <c r="S51" s="77" t="s">
        <v>63</v>
      </c>
    </row>
    <row r="52" ht="15.75" customHeight="1">
      <c r="B52" s="42"/>
      <c r="C52" s="43"/>
      <c r="D52" s="64" t="s">
        <v>64</v>
      </c>
      <c r="E52" s="65"/>
      <c r="F52" s="65"/>
      <c r="G52" s="43"/>
      <c r="H52" s="46"/>
      <c r="J52" s="42"/>
      <c r="K52" s="43"/>
      <c r="L52" s="64" t="s">
        <v>65</v>
      </c>
      <c r="M52" s="65"/>
      <c r="N52" s="65"/>
      <c r="O52" s="43"/>
      <c r="P52" s="46"/>
      <c r="R52" s="54"/>
    </row>
    <row r="53" ht="15.75" customHeight="1">
      <c r="B53" s="15" t="s">
        <v>3</v>
      </c>
      <c r="C53" s="16" t="s">
        <v>4</v>
      </c>
      <c r="D53" s="16" t="s">
        <v>5</v>
      </c>
      <c r="E53" s="16" t="s">
        <v>6</v>
      </c>
      <c r="F53" s="16" t="s">
        <v>7</v>
      </c>
      <c r="G53" s="16" t="s">
        <v>8</v>
      </c>
      <c r="H53" s="17" t="s">
        <v>9</v>
      </c>
      <c r="J53" s="15" t="s">
        <v>3</v>
      </c>
      <c r="K53" s="16" t="s">
        <v>4</v>
      </c>
      <c r="L53" s="16" t="s">
        <v>5</v>
      </c>
      <c r="M53" s="16" t="s">
        <v>6</v>
      </c>
      <c r="N53" s="16" t="s">
        <v>7</v>
      </c>
      <c r="O53" s="16" t="s">
        <v>8</v>
      </c>
      <c r="P53" s="17" t="s">
        <v>9</v>
      </c>
      <c r="R53" s="54"/>
    </row>
    <row r="54" ht="15.75" customHeight="1">
      <c r="B54" s="18"/>
      <c r="C54" s="49">
        <v>45901.0</v>
      </c>
      <c r="D54" s="49">
        <v>45902.0</v>
      </c>
      <c r="E54" s="49">
        <v>45903.0</v>
      </c>
      <c r="F54" s="49">
        <v>45904.0</v>
      </c>
      <c r="G54" s="49">
        <v>45905.0</v>
      </c>
      <c r="H54" s="50">
        <v>45906.0</v>
      </c>
      <c r="J54" s="18"/>
      <c r="K54" s="18"/>
      <c r="L54" s="18"/>
      <c r="M54" s="49">
        <v>45931.0</v>
      </c>
      <c r="N54" s="49">
        <v>45932.0</v>
      </c>
      <c r="O54" s="50">
        <v>45933.0</v>
      </c>
      <c r="P54" s="50">
        <v>45934.0</v>
      </c>
      <c r="R54" s="54"/>
    </row>
    <row r="55" ht="15.75" customHeight="1">
      <c r="B55" s="50">
        <v>45907.0</v>
      </c>
      <c r="C55" s="49">
        <v>45908.0</v>
      </c>
      <c r="D55" s="49">
        <v>45909.0</v>
      </c>
      <c r="E55" s="49">
        <v>45910.0</v>
      </c>
      <c r="F55" s="49">
        <v>45911.0</v>
      </c>
      <c r="G55" s="49">
        <v>45912.0</v>
      </c>
      <c r="H55" s="50">
        <v>45913.0</v>
      </c>
      <c r="J55" s="50">
        <v>45935.0</v>
      </c>
      <c r="K55" s="49">
        <v>45936.0</v>
      </c>
      <c r="L55" s="49">
        <v>45937.0</v>
      </c>
      <c r="M55" s="49">
        <v>45938.0</v>
      </c>
      <c r="N55" s="49">
        <v>45939.0</v>
      </c>
      <c r="O55" s="49">
        <v>45940.0</v>
      </c>
      <c r="P55" s="50">
        <v>45941.0</v>
      </c>
      <c r="R55" s="54"/>
    </row>
    <row r="56" ht="15.75" customHeight="1">
      <c r="B56" s="50">
        <v>45914.0</v>
      </c>
      <c r="C56" s="49">
        <v>45915.0</v>
      </c>
      <c r="D56" s="49">
        <v>45916.0</v>
      </c>
      <c r="E56" s="49">
        <v>45917.0</v>
      </c>
      <c r="F56" s="49">
        <v>45918.0</v>
      </c>
      <c r="G56" s="49">
        <v>45919.0</v>
      </c>
      <c r="H56" s="50">
        <v>45920.0</v>
      </c>
      <c r="J56" s="50">
        <v>45942.0</v>
      </c>
      <c r="K56" s="49">
        <v>45943.0</v>
      </c>
      <c r="L56" s="49">
        <v>45944.0</v>
      </c>
      <c r="M56" s="49">
        <v>45945.0</v>
      </c>
      <c r="N56" s="49">
        <v>45946.0</v>
      </c>
      <c r="O56" s="49">
        <v>45947.0</v>
      </c>
      <c r="P56" s="50">
        <v>45948.0</v>
      </c>
      <c r="R56" s="54"/>
    </row>
    <row r="57" ht="15.75" customHeight="1">
      <c r="B57" s="50">
        <v>45921.0</v>
      </c>
      <c r="C57" s="49">
        <v>45922.0</v>
      </c>
      <c r="D57" s="49">
        <v>45923.0</v>
      </c>
      <c r="E57" s="49">
        <v>45924.0</v>
      </c>
      <c r="F57" s="49">
        <v>45925.0</v>
      </c>
      <c r="G57" s="49">
        <v>45926.0</v>
      </c>
      <c r="H57" s="50">
        <v>45927.0</v>
      </c>
      <c r="J57" s="50">
        <v>45949.0</v>
      </c>
      <c r="K57" s="49">
        <v>45950.0</v>
      </c>
      <c r="L57" s="49">
        <v>45951.0</v>
      </c>
      <c r="M57" s="49">
        <v>45952.0</v>
      </c>
      <c r="N57" s="49">
        <v>45953.0</v>
      </c>
      <c r="O57" s="49">
        <v>45954.0</v>
      </c>
      <c r="P57" s="50">
        <v>45955.0</v>
      </c>
      <c r="R57" s="54"/>
    </row>
    <row r="58" ht="15.75" customHeight="1">
      <c r="B58" s="50">
        <v>45928.0</v>
      </c>
      <c r="C58" s="49">
        <v>45929.0</v>
      </c>
      <c r="D58" s="49">
        <v>45930.0</v>
      </c>
      <c r="E58" s="56"/>
      <c r="F58" s="56"/>
      <c r="G58" s="56"/>
      <c r="H58" s="56"/>
      <c r="J58" s="50">
        <v>45956.0</v>
      </c>
      <c r="K58" s="49">
        <v>45957.0</v>
      </c>
      <c r="L58" s="49">
        <v>45958.0</v>
      </c>
      <c r="M58" s="49">
        <v>45959.0</v>
      </c>
      <c r="N58" s="49">
        <v>45960.0</v>
      </c>
      <c r="O58" s="49">
        <v>45961.0</v>
      </c>
      <c r="P58" s="57"/>
      <c r="R58" s="2"/>
      <c r="S58" s="73" t="s">
        <v>66</v>
      </c>
    </row>
    <row r="59" ht="15.75" customHeight="1">
      <c r="B59" s="79"/>
      <c r="C59" s="79"/>
      <c r="D59" s="79"/>
      <c r="E59" s="79"/>
      <c r="F59" s="34" t="s">
        <v>17</v>
      </c>
      <c r="H59" s="81"/>
      <c r="I59" s="78"/>
      <c r="J59" s="79"/>
      <c r="K59" s="79"/>
      <c r="L59" s="79"/>
      <c r="M59" s="80"/>
      <c r="N59" s="34" t="s">
        <v>17</v>
      </c>
      <c r="P59" s="81"/>
      <c r="Q59" s="78"/>
      <c r="R59" s="2"/>
    </row>
    <row r="60" ht="15.75" customHeight="1">
      <c r="B60" s="79"/>
      <c r="C60" s="79"/>
      <c r="D60" s="79"/>
      <c r="E60" s="79"/>
      <c r="F60" s="37" t="s">
        <v>18</v>
      </c>
      <c r="G60" s="38"/>
      <c r="H60" s="83"/>
      <c r="I60" s="78"/>
      <c r="J60" s="79"/>
      <c r="K60" s="79"/>
      <c r="L60" s="79"/>
      <c r="M60" s="80"/>
      <c r="N60" s="37" t="s">
        <v>18</v>
      </c>
      <c r="O60" s="38"/>
      <c r="P60" s="83"/>
      <c r="Q60" s="78"/>
      <c r="R60" s="2"/>
    </row>
    <row r="61" ht="15.75" customHeight="1">
      <c r="B61" s="79"/>
      <c r="C61" s="79"/>
      <c r="D61" s="79"/>
      <c r="E61" s="79"/>
      <c r="F61" s="79"/>
      <c r="G61" s="79"/>
      <c r="H61" s="82"/>
      <c r="I61" s="78"/>
      <c r="J61" s="79"/>
      <c r="K61" s="79"/>
      <c r="L61" s="79"/>
      <c r="M61" s="80"/>
      <c r="N61" s="80"/>
      <c r="O61" s="80"/>
      <c r="P61" s="80"/>
      <c r="Q61" s="78"/>
      <c r="R61" s="2"/>
    </row>
    <row r="62" ht="15.75" customHeight="1">
      <c r="B62" s="36"/>
      <c r="C62" s="36"/>
      <c r="D62" s="36"/>
      <c r="E62" s="36"/>
      <c r="F62" s="36"/>
      <c r="G62" s="36"/>
      <c r="H62" s="36"/>
      <c r="J62" s="36"/>
      <c r="K62" s="36"/>
      <c r="L62" s="36"/>
      <c r="M62" s="36"/>
      <c r="N62" s="36"/>
      <c r="O62" s="36"/>
      <c r="P62" s="36"/>
      <c r="R62" s="2"/>
    </row>
    <row r="63" ht="15.75" customHeight="1">
      <c r="B63" s="42"/>
      <c r="C63" s="43"/>
      <c r="D63" s="64" t="s">
        <v>67</v>
      </c>
      <c r="E63" s="65"/>
      <c r="F63" s="65"/>
      <c r="G63" s="43"/>
      <c r="H63" s="46"/>
      <c r="J63" s="42"/>
      <c r="K63" s="43"/>
      <c r="L63" s="64" t="s">
        <v>68</v>
      </c>
      <c r="M63" s="65"/>
      <c r="N63" s="65"/>
      <c r="O63" s="43"/>
      <c r="P63" s="46"/>
      <c r="R63" s="2"/>
      <c r="S63" s="2"/>
      <c r="T63" s="2"/>
      <c r="U63" s="2"/>
      <c r="V63" s="2"/>
      <c r="W63" s="2"/>
      <c r="X63" s="2"/>
    </row>
    <row r="64" ht="15.75" customHeight="1">
      <c r="B64" s="15" t="s">
        <v>3</v>
      </c>
      <c r="C64" s="16" t="s">
        <v>4</v>
      </c>
      <c r="D64" s="16" t="s">
        <v>5</v>
      </c>
      <c r="E64" s="16" t="s">
        <v>6</v>
      </c>
      <c r="F64" s="16" t="s">
        <v>7</v>
      </c>
      <c r="G64" s="16" t="s">
        <v>8</v>
      </c>
      <c r="H64" s="17" t="s">
        <v>9</v>
      </c>
      <c r="J64" s="15" t="s">
        <v>3</v>
      </c>
      <c r="K64" s="16" t="s">
        <v>4</v>
      </c>
      <c r="L64" s="16" t="s">
        <v>5</v>
      </c>
      <c r="M64" s="16" t="s">
        <v>6</v>
      </c>
      <c r="N64" s="16" t="s">
        <v>7</v>
      </c>
      <c r="O64" s="16" t="s">
        <v>8</v>
      </c>
      <c r="P64" s="17" t="s">
        <v>9</v>
      </c>
      <c r="R64" s="2"/>
      <c r="S64" s="2"/>
      <c r="T64" s="2"/>
      <c r="U64" s="2"/>
      <c r="V64" s="2"/>
      <c r="W64" s="2"/>
      <c r="X64" s="2"/>
    </row>
    <row r="65" ht="15.75" customHeight="1">
      <c r="B65" s="30"/>
      <c r="C65" s="74"/>
      <c r="D65" s="74"/>
      <c r="E65" s="74"/>
      <c r="F65" s="74"/>
      <c r="G65" s="74"/>
      <c r="H65" s="50">
        <v>45962.0</v>
      </c>
      <c r="J65" s="30"/>
      <c r="K65" s="49">
        <v>45992.0</v>
      </c>
      <c r="L65" s="49">
        <v>45993.0</v>
      </c>
      <c r="M65" s="49">
        <v>45994.0</v>
      </c>
      <c r="N65" s="49">
        <v>45995.0</v>
      </c>
      <c r="O65" s="49">
        <v>45996.0</v>
      </c>
      <c r="P65" s="50">
        <v>45997.0</v>
      </c>
      <c r="R65" s="54"/>
      <c r="S65" s="2"/>
      <c r="T65" s="2"/>
      <c r="U65" s="2"/>
      <c r="V65" s="2"/>
      <c r="W65" s="2"/>
      <c r="X65" s="2"/>
    </row>
    <row r="66" ht="15.75" customHeight="1">
      <c r="B66" s="50">
        <v>45963.0</v>
      </c>
      <c r="C66" s="49">
        <v>45964.0</v>
      </c>
      <c r="D66" s="49">
        <v>45965.0</v>
      </c>
      <c r="E66" s="49">
        <v>45966.0</v>
      </c>
      <c r="F66" s="49">
        <v>45967.0</v>
      </c>
      <c r="G66" s="49">
        <v>45968.0</v>
      </c>
      <c r="H66" s="50">
        <v>45969.0</v>
      </c>
      <c r="I66" s="51"/>
      <c r="J66" s="50">
        <v>45998.0</v>
      </c>
      <c r="K66" s="49">
        <v>45999.0</v>
      </c>
      <c r="L66" s="49">
        <v>46000.0</v>
      </c>
      <c r="M66" s="49">
        <v>46001.0</v>
      </c>
      <c r="N66" s="49">
        <v>46002.0</v>
      </c>
      <c r="O66" s="49">
        <v>46003.0</v>
      </c>
      <c r="P66" s="50">
        <v>46004.0</v>
      </c>
      <c r="R66" s="54"/>
      <c r="S66" s="2"/>
      <c r="T66" s="2"/>
      <c r="U66" s="2"/>
      <c r="V66" s="2"/>
      <c r="W66" s="2"/>
      <c r="X66" s="2"/>
    </row>
    <row r="67" ht="15.75" customHeight="1">
      <c r="B67" s="50">
        <v>45970.0</v>
      </c>
      <c r="C67" s="49">
        <v>45971.0</v>
      </c>
      <c r="D67" s="49">
        <v>45972.0</v>
      </c>
      <c r="E67" s="49">
        <v>45973.0</v>
      </c>
      <c r="F67" s="49">
        <v>45974.0</v>
      </c>
      <c r="G67" s="49">
        <v>45975.0</v>
      </c>
      <c r="H67" s="50">
        <v>45976.0</v>
      </c>
      <c r="J67" s="50">
        <v>46005.0</v>
      </c>
      <c r="K67" s="49">
        <v>46006.0</v>
      </c>
      <c r="L67" s="49">
        <v>46007.0</v>
      </c>
      <c r="M67" s="49">
        <v>46008.0</v>
      </c>
      <c r="N67" s="49">
        <v>46009.0</v>
      </c>
      <c r="O67" s="49">
        <v>46010.0</v>
      </c>
      <c r="P67" s="50">
        <v>46011.0</v>
      </c>
      <c r="R67" s="54"/>
      <c r="S67" s="2"/>
      <c r="T67" s="2"/>
      <c r="U67" s="2"/>
      <c r="V67" s="2"/>
      <c r="W67" s="2"/>
      <c r="X67" s="2"/>
    </row>
    <row r="68" ht="15.75" customHeight="1">
      <c r="B68" s="50">
        <v>45977.0</v>
      </c>
      <c r="C68" s="49">
        <v>45978.0</v>
      </c>
      <c r="D68" s="49">
        <v>45979.0</v>
      </c>
      <c r="E68" s="49">
        <v>45980.0</v>
      </c>
      <c r="F68" s="50">
        <v>45981.0</v>
      </c>
      <c r="G68" s="49">
        <v>45982.0</v>
      </c>
      <c r="H68" s="50">
        <v>45983.0</v>
      </c>
      <c r="J68" s="50">
        <v>46012.0</v>
      </c>
      <c r="K68" s="49">
        <v>46013.0</v>
      </c>
      <c r="L68" s="49">
        <v>46014.0</v>
      </c>
      <c r="M68" s="49">
        <v>46015.0</v>
      </c>
      <c r="N68" s="50">
        <v>46016.0</v>
      </c>
      <c r="O68" s="49">
        <v>46017.0</v>
      </c>
      <c r="P68" s="50">
        <v>46018.0</v>
      </c>
      <c r="R68" s="54"/>
      <c r="S68" s="2"/>
      <c r="T68" s="2"/>
      <c r="U68" s="2"/>
      <c r="V68" s="2"/>
      <c r="W68" s="2"/>
      <c r="X68" s="2"/>
    </row>
    <row r="69" ht="15.75" customHeight="1">
      <c r="B69" s="50">
        <v>45984.0</v>
      </c>
      <c r="C69" s="49">
        <v>45985.0</v>
      </c>
      <c r="D69" s="49">
        <v>45986.0</v>
      </c>
      <c r="E69" s="49">
        <v>45987.0</v>
      </c>
      <c r="F69" s="49">
        <v>45988.0</v>
      </c>
      <c r="G69" s="49">
        <v>45989.0</v>
      </c>
      <c r="H69" s="50">
        <v>45990.0</v>
      </c>
      <c r="J69" s="50">
        <v>46019.0</v>
      </c>
      <c r="K69" s="49">
        <v>46020.0</v>
      </c>
      <c r="L69" s="49">
        <v>46021.0</v>
      </c>
      <c r="M69" s="49">
        <v>46022.0</v>
      </c>
      <c r="N69" s="56"/>
      <c r="O69" s="56"/>
      <c r="P69" s="57"/>
      <c r="R69" s="2"/>
      <c r="S69" s="2"/>
      <c r="T69" s="2"/>
      <c r="U69" s="2"/>
      <c r="V69" s="2"/>
      <c r="W69" s="2"/>
      <c r="X69" s="2"/>
    </row>
    <row r="70" ht="15.75" customHeight="1">
      <c r="B70" s="50">
        <v>45991.0</v>
      </c>
      <c r="C70" s="36"/>
      <c r="D70" s="36"/>
      <c r="E70" s="36"/>
      <c r="I70" s="78"/>
      <c r="N70" s="34" t="s">
        <v>17</v>
      </c>
      <c r="P70" s="81"/>
      <c r="R70" s="2"/>
      <c r="S70" s="2"/>
      <c r="T70" s="2"/>
      <c r="U70" s="2"/>
      <c r="V70" s="2"/>
      <c r="W70" s="2"/>
      <c r="X70" s="2"/>
    </row>
    <row r="71" ht="15.75" customHeight="1">
      <c r="F71" s="34" t="s">
        <v>17</v>
      </c>
      <c r="H71" s="81"/>
      <c r="I71" s="78"/>
      <c r="J71" s="36"/>
      <c r="K71" s="36"/>
      <c r="L71" s="36"/>
      <c r="M71" s="36"/>
      <c r="N71" s="37" t="s">
        <v>18</v>
      </c>
      <c r="O71" s="38"/>
      <c r="P71" s="83"/>
      <c r="Q71" s="78"/>
      <c r="R71" s="2"/>
      <c r="S71" s="2"/>
      <c r="T71" s="2"/>
      <c r="U71" s="2"/>
      <c r="V71" s="2"/>
      <c r="W71" s="2"/>
      <c r="X71" s="2"/>
    </row>
    <row r="72" ht="15.75" customHeight="1">
      <c r="B72" s="86"/>
      <c r="F72" s="37" t="s">
        <v>18</v>
      </c>
      <c r="G72" s="38"/>
      <c r="H72" s="83"/>
      <c r="Q72" s="78"/>
      <c r="R72" s="2"/>
      <c r="S72" s="2"/>
      <c r="T72" s="2"/>
      <c r="U72" s="2"/>
      <c r="V72" s="2"/>
      <c r="W72" s="2"/>
      <c r="X72" s="2"/>
    </row>
    <row r="73" ht="15.75" customHeight="1">
      <c r="B73" s="51"/>
      <c r="H73" s="67"/>
      <c r="R73" s="2"/>
      <c r="S73" s="2"/>
      <c r="T73" s="2"/>
      <c r="U73" s="2"/>
      <c r="V73" s="2"/>
      <c r="W73" s="2"/>
      <c r="X73" s="2"/>
    </row>
    <row r="74" ht="15.75" customHeight="1">
      <c r="P74" s="67"/>
      <c r="R74" s="2"/>
      <c r="S74" s="2"/>
      <c r="T74" s="2"/>
      <c r="U74" s="2"/>
      <c r="V74" s="2"/>
      <c r="W74" s="2"/>
      <c r="X74" s="2"/>
    </row>
    <row r="75" ht="15.75" customHeight="1">
      <c r="R75" s="2"/>
      <c r="S75" s="2"/>
      <c r="T75" s="2"/>
      <c r="U75" s="2"/>
      <c r="V75" s="2"/>
      <c r="W75" s="2"/>
      <c r="X75" s="2"/>
    </row>
    <row r="76" ht="15.75" customHeight="1">
      <c r="R76" s="2"/>
      <c r="S76" s="2"/>
      <c r="T76" s="2"/>
      <c r="U76" s="2"/>
      <c r="V76" s="2"/>
      <c r="W76" s="2"/>
      <c r="X76" s="2"/>
    </row>
    <row r="77" ht="15.75" customHeight="1">
      <c r="R77" s="2"/>
      <c r="S77" s="2"/>
      <c r="T77" s="2"/>
      <c r="U77" s="2"/>
      <c r="V77" s="2"/>
      <c r="W77" s="2"/>
      <c r="X77" s="2"/>
    </row>
    <row r="78" ht="15.75" customHeight="1">
      <c r="R78" s="2"/>
      <c r="S78" s="2"/>
      <c r="T78" s="2"/>
      <c r="U78" s="2"/>
      <c r="V78" s="2"/>
      <c r="W78" s="2"/>
      <c r="X78" s="2"/>
    </row>
    <row r="79" ht="15.75" customHeight="1">
      <c r="R79" s="2"/>
      <c r="S79" s="2"/>
      <c r="T79" s="2"/>
      <c r="U79" s="2"/>
      <c r="V79" s="2"/>
      <c r="W79" s="2"/>
      <c r="X79" s="2"/>
    </row>
    <row r="80" ht="15.75" customHeight="1">
      <c r="R80" s="2"/>
      <c r="S80" s="2"/>
      <c r="T80" s="2"/>
      <c r="U80" s="2"/>
      <c r="V80" s="2"/>
      <c r="W80" s="2"/>
      <c r="X80" s="2"/>
    </row>
    <row r="81" ht="15.75" customHeight="1">
      <c r="R81" s="2"/>
      <c r="S81" s="2"/>
      <c r="T81" s="2"/>
      <c r="U81" s="2"/>
      <c r="V81" s="2"/>
      <c r="W81" s="2"/>
      <c r="X81" s="2"/>
    </row>
    <row r="82" ht="15.75" customHeight="1">
      <c r="R82" s="2"/>
      <c r="S82" s="2"/>
      <c r="T82" s="2"/>
      <c r="U82" s="2"/>
      <c r="V82" s="2"/>
      <c r="W82" s="2"/>
      <c r="X82" s="2"/>
    </row>
    <row r="83" ht="15.75" customHeight="1">
      <c r="R83" s="2"/>
      <c r="S83" s="2"/>
      <c r="T83" s="2"/>
      <c r="U83" s="2"/>
      <c r="V83" s="2"/>
      <c r="W83" s="2"/>
      <c r="X83" s="2"/>
    </row>
    <row r="84" ht="15.75" customHeight="1">
      <c r="R84" s="2"/>
      <c r="S84" s="2"/>
      <c r="T84" s="2"/>
      <c r="U84" s="2"/>
      <c r="V84" s="2"/>
      <c r="W84" s="2"/>
      <c r="X84" s="2"/>
    </row>
    <row r="85" ht="15.75" customHeight="1">
      <c r="R85" s="2"/>
      <c r="S85" s="2"/>
      <c r="T85" s="2"/>
      <c r="U85" s="2"/>
      <c r="V85" s="2"/>
      <c r="W85" s="2"/>
      <c r="X85" s="2"/>
    </row>
    <row r="86" ht="15.75" customHeight="1">
      <c r="R86" s="2"/>
      <c r="S86" s="2"/>
      <c r="T86" s="2"/>
      <c r="U86" s="2"/>
      <c r="V86" s="2"/>
      <c r="W86" s="2"/>
      <c r="X86" s="2"/>
    </row>
    <row r="87" ht="15.75" customHeight="1">
      <c r="R87" s="2"/>
      <c r="S87" s="2"/>
      <c r="T87" s="2"/>
      <c r="U87" s="2"/>
      <c r="V87" s="2"/>
      <c r="W87" s="2"/>
      <c r="X87" s="2"/>
    </row>
    <row r="88" ht="15.75" customHeight="1">
      <c r="R88" s="2"/>
      <c r="S88" s="2"/>
      <c r="T88" s="2"/>
      <c r="U88" s="2"/>
      <c r="V88" s="2"/>
      <c r="W88" s="2"/>
      <c r="X88" s="2"/>
    </row>
    <row r="89" ht="15.75" customHeight="1">
      <c r="R89" s="2"/>
      <c r="S89" s="2"/>
      <c r="T89" s="2"/>
      <c r="U89" s="2"/>
      <c r="V89" s="2"/>
      <c r="W89" s="2"/>
      <c r="X89" s="2"/>
    </row>
    <row r="90" ht="15.75" customHeight="1">
      <c r="R90" s="2"/>
      <c r="S90" s="2"/>
      <c r="T90" s="2"/>
      <c r="U90" s="2"/>
      <c r="V90" s="2"/>
      <c r="W90" s="2"/>
      <c r="X90" s="2"/>
    </row>
    <row r="91" ht="15.75" customHeight="1">
      <c r="R91" s="2"/>
      <c r="S91" s="2"/>
      <c r="T91" s="2"/>
      <c r="U91" s="2"/>
      <c r="V91" s="2"/>
      <c r="W91" s="2"/>
      <c r="X91" s="2"/>
    </row>
    <row r="92" ht="15.75" customHeight="1">
      <c r="R92" s="2"/>
      <c r="S92" s="2"/>
      <c r="T92" s="2"/>
      <c r="U92" s="2"/>
      <c r="V92" s="2"/>
      <c r="W92" s="2"/>
      <c r="X92" s="2"/>
    </row>
    <row r="93" ht="15.75" customHeight="1">
      <c r="R93" s="2"/>
      <c r="S93" s="2"/>
      <c r="T93" s="2"/>
      <c r="U93" s="2"/>
      <c r="V93" s="2"/>
      <c r="W93" s="2"/>
      <c r="X93" s="2"/>
    </row>
    <row r="94" ht="15.75" customHeight="1">
      <c r="R94" s="2"/>
      <c r="S94" s="2"/>
      <c r="T94" s="2"/>
      <c r="U94" s="2"/>
      <c r="V94" s="2"/>
      <c r="W94" s="2"/>
      <c r="X94" s="2"/>
    </row>
    <row r="95" ht="15.75" customHeight="1">
      <c r="R95" s="2"/>
      <c r="S95" s="2"/>
      <c r="T95" s="2"/>
      <c r="U95" s="2"/>
      <c r="V95" s="2"/>
      <c r="W95" s="2"/>
      <c r="X95" s="2"/>
    </row>
    <row r="96" ht="15.75" customHeight="1">
      <c r="R96" s="2"/>
      <c r="S96" s="2"/>
      <c r="T96" s="2"/>
      <c r="U96" s="2"/>
      <c r="V96" s="2"/>
      <c r="W96" s="2"/>
      <c r="X96" s="2"/>
    </row>
    <row r="97" ht="15.75" customHeight="1">
      <c r="R97" s="2"/>
      <c r="S97" s="2"/>
      <c r="T97" s="2"/>
      <c r="U97" s="2"/>
      <c r="V97" s="2"/>
      <c r="W97" s="2"/>
      <c r="X97" s="2"/>
    </row>
    <row r="98" ht="15.75" customHeight="1">
      <c r="R98" s="2"/>
      <c r="S98" s="2"/>
      <c r="T98" s="2"/>
      <c r="U98" s="2"/>
      <c r="V98" s="2"/>
      <c r="W98" s="2"/>
      <c r="X98" s="2"/>
    </row>
    <row r="99" ht="15.75" customHeight="1">
      <c r="R99" s="2"/>
      <c r="S99" s="2"/>
      <c r="T99" s="2"/>
      <c r="U99" s="2"/>
      <c r="V99" s="2"/>
      <c r="W99" s="2"/>
      <c r="X99" s="2"/>
    </row>
    <row r="100" ht="15.75" customHeight="1">
      <c r="R100" s="2"/>
      <c r="S100" s="2"/>
      <c r="T100" s="2"/>
      <c r="U100" s="2"/>
      <c r="V100" s="2"/>
      <c r="W100" s="2"/>
      <c r="X100" s="2"/>
    </row>
    <row r="101" ht="15.75" customHeight="1">
      <c r="R101" s="2"/>
      <c r="S101" s="2"/>
      <c r="T101" s="2"/>
      <c r="U101" s="2"/>
      <c r="V101" s="2"/>
      <c r="W101" s="2"/>
      <c r="X101" s="2"/>
    </row>
    <row r="102" ht="15.75" customHeight="1">
      <c r="R102" s="2"/>
      <c r="S102" s="2"/>
      <c r="T102" s="2"/>
      <c r="U102" s="2"/>
      <c r="V102" s="2"/>
      <c r="W102" s="2"/>
      <c r="X102" s="2"/>
    </row>
    <row r="103" ht="15.75" customHeight="1">
      <c r="R103" s="2"/>
      <c r="S103" s="2"/>
      <c r="T103" s="2"/>
      <c r="U103" s="2"/>
      <c r="V103" s="2"/>
      <c r="W103" s="2"/>
      <c r="X103" s="2"/>
    </row>
    <row r="104" ht="15.75" customHeight="1">
      <c r="R104" s="2"/>
      <c r="S104" s="2"/>
      <c r="T104" s="2"/>
      <c r="U104" s="2"/>
      <c r="V104" s="2"/>
      <c r="W104" s="2"/>
      <c r="X104" s="2"/>
    </row>
    <row r="105" ht="15.75" customHeight="1">
      <c r="R105" s="2"/>
      <c r="S105" s="2"/>
      <c r="T105" s="2"/>
      <c r="U105" s="2"/>
      <c r="V105" s="2"/>
      <c r="W105" s="2"/>
      <c r="X105" s="2"/>
    </row>
    <row r="106" ht="15.75" customHeight="1">
      <c r="R106" s="2"/>
      <c r="S106" s="2"/>
      <c r="T106" s="2"/>
      <c r="U106" s="2"/>
      <c r="V106" s="2"/>
      <c r="W106" s="2"/>
      <c r="X106" s="2"/>
    </row>
    <row r="107" ht="15.75" customHeight="1">
      <c r="R107" s="2"/>
      <c r="S107" s="2"/>
      <c r="T107" s="2"/>
      <c r="U107" s="2"/>
      <c r="V107" s="2"/>
      <c r="W107" s="2"/>
      <c r="X107" s="2"/>
    </row>
    <row r="108" ht="15.75" customHeight="1">
      <c r="R108" s="2"/>
      <c r="S108" s="2"/>
      <c r="T108" s="2"/>
      <c r="U108" s="2"/>
      <c r="V108" s="2"/>
      <c r="W108" s="2"/>
      <c r="X108" s="2"/>
    </row>
    <row r="109" ht="15.75" customHeight="1">
      <c r="R109" s="2"/>
      <c r="S109" s="2"/>
      <c r="T109" s="2"/>
      <c r="U109" s="2"/>
      <c r="V109" s="2"/>
      <c r="W109" s="2"/>
      <c r="X109" s="2"/>
    </row>
    <row r="110" ht="15.75" customHeight="1">
      <c r="R110" s="2"/>
      <c r="S110" s="2"/>
      <c r="T110" s="2"/>
      <c r="U110" s="2"/>
      <c r="V110" s="2"/>
      <c r="W110" s="2"/>
      <c r="X110" s="2"/>
    </row>
    <row r="111" ht="15.75" customHeight="1">
      <c r="R111" s="2"/>
      <c r="S111" s="2"/>
      <c r="T111" s="2"/>
      <c r="U111" s="2"/>
      <c r="V111" s="2"/>
      <c r="W111" s="2"/>
      <c r="X111" s="2"/>
    </row>
    <row r="112" ht="15.75" customHeight="1">
      <c r="R112" s="2"/>
      <c r="S112" s="2"/>
      <c r="T112" s="2"/>
      <c r="U112" s="2"/>
      <c r="V112" s="2"/>
      <c r="W112" s="2"/>
      <c r="X112" s="2"/>
    </row>
    <row r="113" ht="15.75" customHeight="1">
      <c r="R113" s="2"/>
      <c r="S113" s="2"/>
      <c r="T113" s="2"/>
      <c r="U113" s="2"/>
      <c r="V113" s="2"/>
      <c r="W113" s="2"/>
      <c r="X113" s="2"/>
    </row>
    <row r="114" ht="15.75" customHeight="1">
      <c r="R114" s="2"/>
      <c r="S114" s="2"/>
      <c r="T114" s="2"/>
      <c r="U114" s="2"/>
      <c r="V114" s="2"/>
      <c r="W114" s="2"/>
      <c r="X114" s="2"/>
    </row>
    <row r="115" ht="15.75" customHeight="1">
      <c r="R115" s="2"/>
      <c r="S115" s="2"/>
      <c r="T115" s="2"/>
      <c r="U115" s="2"/>
      <c r="V115" s="2"/>
      <c r="W115" s="2"/>
      <c r="X115" s="2"/>
    </row>
    <row r="116" ht="15.75" customHeight="1">
      <c r="R116" s="2"/>
      <c r="S116" s="2"/>
      <c r="T116" s="2"/>
      <c r="U116" s="2"/>
      <c r="V116" s="2"/>
      <c r="W116" s="2"/>
      <c r="X116" s="2"/>
    </row>
    <row r="117" ht="15.75" customHeight="1">
      <c r="R117" s="2"/>
      <c r="S117" s="2"/>
      <c r="T117" s="2"/>
      <c r="U117" s="2"/>
      <c r="V117" s="2"/>
      <c r="W117" s="2"/>
      <c r="X117" s="2"/>
    </row>
    <row r="118" ht="15.75" customHeight="1">
      <c r="R118" s="2"/>
      <c r="S118" s="2"/>
      <c r="T118" s="2"/>
      <c r="U118" s="2"/>
      <c r="V118" s="2"/>
      <c r="W118" s="2"/>
      <c r="X118" s="2"/>
    </row>
    <row r="119" ht="15.75" customHeight="1">
      <c r="R119" s="2"/>
      <c r="S119" s="2"/>
      <c r="T119" s="2"/>
      <c r="U119" s="2"/>
      <c r="V119" s="2"/>
      <c r="W119" s="2"/>
      <c r="X119" s="2"/>
    </row>
    <row r="120" ht="15.75" customHeight="1">
      <c r="R120" s="2"/>
      <c r="S120" s="2"/>
      <c r="T120" s="2"/>
      <c r="U120" s="2"/>
      <c r="V120" s="2"/>
      <c r="W120" s="2"/>
      <c r="X120" s="2"/>
    </row>
    <row r="121" ht="15.75" customHeight="1">
      <c r="R121" s="2"/>
      <c r="S121" s="2"/>
      <c r="T121" s="2"/>
      <c r="U121" s="2"/>
      <c r="V121" s="2"/>
      <c r="W121" s="2"/>
      <c r="X121" s="2"/>
    </row>
    <row r="122" ht="15.75" customHeight="1">
      <c r="R122" s="2"/>
      <c r="S122" s="2"/>
      <c r="T122" s="2"/>
      <c r="U122" s="2"/>
      <c r="V122" s="2"/>
      <c r="W122" s="2"/>
      <c r="X122" s="2"/>
    </row>
    <row r="123" ht="15.75" customHeight="1">
      <c r="R123" s="2"/>
      <c r="S123" s="2"/>
      <c r="T123" s="2"/>
      <c r="U123" s="2"/>
      <c r="V123" s="2"/>
      <c r="W123" s="2"/>
      <c r="X123" s="2"/>
    </row>
    <row r="124" ht="15.75" customHeight="1">
      <c r="R124" s="2"/>
      <c r="S124" s="2"/>
      <c r="T124" s="2"/>
      <c r="U124" s="2"/>
      <c r="V124" s="2"/>
      <c r="W124" s="2"/>
      <c r="X124" s="2"/>
    </row>
    <row r="125" ht="15.75" customHeight="1">
      <c r="R125" s="2"/>
      <c r="S125" s="2"/>
      <c r="T125" s="2"/>
      <c r="U125" s="2"/>
      <c r="V125" s="2"/>
      <c r="W125" s="2"/>
      <c r="X125" s="2"/>
    </row>
    <row r="126" ht="15.75" customHeight="1">
      <c r="R126" s="2"/>
      <c r="S126" s="2"/>
      <c r="T126" s="2"/>
      <c r="U126" s="2"/>
      <c r="V126" s="2"/>
      <c r="W126" s="2"/>
      <c r="X126" s="2"/>
    </row>
    <row r="127" ht="15.75" customHeight="1">
      <c r="R127" s="2"/>
      <c r="S127" s="2"/>
      <c r="T127" s="2"/>
      <c r="U127" s="2"/>
      <c r="V127" s="2"/>
      <c r="W127" s="2"/>
      <c r="X127" s="2"/>
    </row>
    <row r="128" ht="15.75" customHeight="1">
      <c r="R128" s="2"/>
      <c r="S128" s="2"/>
      <c r="T128" s="2"/>
      <c r="U128" s="2"/>
      <c r="V128" s="2"/>
      <c r="W128" s="2"/>
      <c r="X128" s="2"/>
    </row>
    <row r="129" ht="15.75" customHeight="1">
      <c r="R129" s="2"/>
      <c r="S129" s="2"/>
      <c r="T129" s="2"/>
      <c r="U129" s="2"/>
      <c r="V129" s="2"/>
      <c r="W129" s="2"/>
      <c r="X129" s="2"/>
    </row>
    <row r="130" ht="15.75" customHeight="1">
      <c r="R130" s="2"/>
      <c r="S130" s="2"/>
      <c r="T130" s="2"/>
      <c r="U130" s="2"/>
      <c r="V130" s="2"/>
      <c r="W130" s="2"/>
      <c r="X130" s="2"/>
    </row>
    <row r="131" ht="15.75" customHeight="1">
      <c r="R131" s="2"/>
      <c r="S131" s="2"/>
      <c r="T131" s="2"/>
      <c r="U131" s="2"/>
      <c r="V131" s="2"/>
      <c r="W131" s="2"/>
      <c r="X131" s="2"/>
    </row>
    <row r="132" ht="15.75" customHeight="1">
      <c r="R132" s="2"/>
      <c r="S132" s="2"/>
      <c r="T132" s="2"/>
      <c r="U132" s="2"/>
      <c r="V132" s="2"/>
      <c r="W132" s="2"/>
      <c r="X132" s="2"/>
    </row>
    <row r="133" ht="15.75" customHeight="1">
      <c r="R133" s="2"/>
      <c r="S133" s="2"/>
      <c r="T133" s="2"/>
      <c r="U133" s="2"/>
      <c r="V133" s="2"/>
      <c r="W133" s="2"/>
      <c r="X133" s="2"/>
    </row>
    <row r="134" ht="15.75" customHeight="1">
      <c r="R134" s="2"/>
      <c r="S134" s="2"/>
      <c r="T134" s="2"/>
      <c r="U134" s="2"/>
      <c r="V134" s="2"/>
      <c r="W134" s="2"/>
      <c r="X134" s="2"/>
    </row>
    <row r="135" ht="15.75" customHeight="1">
      <c r="R135" s="2"/>
      <c r="S135" s="2"/>
      <c r="T135" s="2"/>
      <c r="U135" s="2"/>
      <c r="V135" s="2"/>
      <c r="W135" s="2"/>
      <c r="X135" s="2"/>
    </row>
    <row r="136" ht="15.75" customHeight="1">
      <c r="R136" s="2"/>
      <c r="S136" s="2"/>
      <c r="T136" s="2"/>
      <c r="U136" s="2"/>
      <c r="V136" s="2"/>
      <c r="W136" s="2"/>
      <c r="X136" s="2"/>
    </row>
    <row r="137" ht="15.75" customHeight="1">
      <c r="R137" s="2"/>
      <c r="S137" s="2"/>
      <c r="T137" s="2"/>
      <c r="U137" s="2"/>
      <c r="V137" s="2"/>
      <c r="W137" s="2"/>
      <c r="X137" s="2"/>
    </row>
    <row r="138" ht="15.75" customHeight="1">
      <c r="R138" s="2"/>
      <c r="S138" s="2"/>
      <c r="T138" s="2"/>
      <c r="U138" s="2"/>
      <c r="V138" s="2"/>
      <c r="W138" s="2"/>
      <c r="X138" s="2"/>
    </row>
    <row r="139" ht="15.75" customHeight="1">
      <c r="R139" s="2"/>
      <c r="S139" s="2"/>
      <c r="T139" s="2"/>
      <c r="U139" s="2"/>
      <c r="V139" s="2"/>
      <c r="W139" s="2"/>
      <c r="X139" s="2"/>
    </row>
    <row r="140" ht="15.75" customHeight="1">
      <c r="R140" s="2"/>
      <c r="S140" s="2"/>
      <c r="T140" s="2"/>
      <c r="U140" s="2"/>
      <c r="V140" s="2"/>
      <c r="W140" s="2"/>
      <c r="X140" s="2"/>
    </row>
    <row r="141" ht="15.75" customHeight="1">
      <c r="R141" s="2"/>
      <c r="S141" s="2"/>
      <c r="T141" s="2"/>
      <c r="U141" s="2"/>
      <c r="V141" s="2"/>
      <c r="W141" s="2"/>
      <c r="X141" s="2"/>
    </row>
    <row r="142" ht="15.75" customHeight="1">
      <c r="R142" s="2"/>
      <c r="S142" s="2"/>
      <c r="T142" s="2"/>
      <c r="U142" s="2"/>
      <c r="V142" s="2"/>
      <c r="W142" s="2"/>
      <c r="X142" s="2"/>
    </row>
    <row r="143" ht="15.75" customHeight="1">
      <c r="R143" s="2"/>
      <c r="S143" s="2"/>
      <c r="T143" s="2"/>
      <c r="U143" s="2"/>
      <c r="V143" s="2"/>
      <c r="W143" s="2"/>
      <c r="X143" s="2"/>
    </row>
    <row r="144" ht="15.75" customHeight="1">
      <c r="R144" s="2"/>
      <c r="S144" s="2"/>
      <c r="T144" s="2"/>
      <c r="U144" s="2"/>
      <c r="V144" s="2"/>
      <c r="W144" s="2"/>
      <c r="X144" s="2"/>
    </row>
    <row r="145" ht="15.75" customHeight="1">
      <c r="R145" s="2"/>
      <c r="S145" s="2"/>
      <c r="T145" s="2"/>
      <c r="U145" s="2"/>
      <c r="V145" s="2"/>
      <c r="W145" s="2"/>
      <c r="X145" s="2"/>
    </row>
    <row r="146" ht="15.75" customHeight="1">
      <c r="R146" s="2"/>
      <c r="S146" s="2"/>
      <c r="T146" s="2"/>
      <c r="U146" s="2"/>
      <c r="V146" s="2"/>
      <c r="W146" s="2"/>
      <c r="X146" s="2"/>
    </row>
    <row r="147" ht="15.75" customHeight="1">
      <c r="R147" s="2"/>
      <c r="S147" s="2"/>
      <c r="T147" s="2"/>
      <c r="U147" s="2"/>
      <c r="V147" s="2"/>
      <c r="W147" s="2"/>
      <c r="X147" s="2"/>
    </row>
    <row r="148" ht="15.75" customHeight="1">
      <c r="R148" s="2"/>
      <c r="S148" s="2"/>
      <c r="T148" s="2"/>
      <c r="U148" s="2"/>
      <c r="V148" s="2"/>
      <c r="W148" s="2"/>
      <c r="X148" s="2"/>
    </row>
    <row r="149" ht="15.75" customHeight="1">
      <c r="R149" s="2"/>
      <c r="S149" s="2"/>
      <c r="T149" s="2"/>
      <c r="U149" s="2"/>
      <c r="V149" s="2"/>
      <c r="W149" s="2"/>
      <c r="X149" s="2"/>
    </row>
    <row r="150" ht="15.75" customHeight="1">
      <c r="R150" s="2"/>
      <c r="S150" s="2"/>
      <c r="T150" s="2"/>
      <c r="U150" s="2"/>
      <c r="V150" s="2"/>
      <c r="W150" s="2"/>
      <c r="X150" s="2"/>
    </row>
    <row r="151" ht="15.75" customHeight="1">
      <c r="R151" s="2"/>
      <c r="S151" s="2"/>
      <c r="T151" s="2"/>
      <c r="U151" s="2"/>
      <c r="V151" s="2"/>
      <c r="W151" s="2"/>
      <c r="X151" s="2"/>
    </row>
    <row r="152" ht="15.75" customHeight="1">
      <c r="R152" s="2"/>
      <c r="S152" s="2"/>
      <c r="T152" s="2"/>
      <c r="U152" s="2"/>
      <c r="V152" s="2"/>
      <c r="W152" s="2"/>
      <c r="X152" s="2"/>
    </row>
    <row r="153" ht="15.75" customHeight="1">
      <c r="R153" s="2"/>
      <c r="S153" s="2"/>
      <c r="T153" s="2"/>
      <c r="U153" s="2"/>
      <c r="V153" s="2"/>
      <c r="W153" s="2"/>
      <c r="X153" s="2"/>
    </row>
    <row r="154" ht="15.75" customHeight="1">
      <c r="R154" s="2"/>
      <c r="S154" s="2"/>
      <c r="T154" s="2"/>
      <c r="U154" s="2"/>
      <c r="V154" s="2"/>
      <c r="W154" s="2"/>
      <c r="X154" s="2"/>
    </row>
    <row r="155" ht="15.75" customHeight="1">
      <c r="R155" s="2"/>
      <c r="S155" s="2"/>
      <c r="T155" s="2"/>
      <c r="U155" s="2"/>
      <c r="V155" s="2"/>
      <c r="W155" s="2"/>
      <c r="X155" s="2"/>
    </row>
    <row r="156" ht="15.75" customHeight="1">
      <c r="R156" s="2"/>
      <c r="S156" s="2"/>
      <c r="T156" s="2"/>
      <c r="U156" s="2"/>
      <c r="V156" s="2"/>
      <c r="W156" s="2"/>
      <c r="X156" s="2"/>
    </row>
    <row r="157" ht="15.75" customHeight="1">
      <c r="R157" s="2"/>
      <c r="S157" s="2"/>
      <c r="T157" s="2"/>
      <c r="U157" s="2"/>
      <c r="V157" s="2"/>
      <c r="W157" s="2"/>
      <c r="X157" s="2"/>
    </row>
    <row r="158" ht="15.75" customHeight="1">
      <c r="R158" s="2"/>
      <c r="S158" s="2"/>
      <c r="T158" s="2"/>
      <c r="U158" s="2"/>
      <c r="V158" s="2"/>
      <c r="W158" s="2"/>
      <c r="X158" s="2"/>
    </row>
    <row r="159" ht="15.75" customHeight="1">
      <c r="R159" s="2"/>
      <c r="S159" s="2"/>
      <c r="T159" s="2"/>
      <c r="U159" s="2"/>
      <c r="V159" s="2"/>
      <c r="W159" s="2"/>
      <c r="X159" s="2"/>
    </row>
    <row r="160" ht="15.75" customHeight="1">
      <c r="R160" s="2"/>
      <c r="S160" s="2"/>
      <c r="T160" s="2"/>
      <c r="U160" s="2"/>
      <c r="V160" s="2"/>
      <c r="W160" s="2"/>
      <c r="X160" s="2"/>
    </row>
    <row r="161" ht="15.75" customHeight="1">
      <c r="R161" s="2"/>
      <c r="S161" s="2"/>
      <c r="T161" s="2"/>
      <c r="U161" s="2"/>
      <c r="V161" s="2"/>
      <c r="W161" s="2"/>
      <c r="X161" s="2"/>
    </row>
    <row r="162" ht="15.75" customHeight="1">
      <c r="R162" s="2"/>
      <c r="S162" s="2"/>
      <c r="T162" s="2"/>
      <c r="U162" s="2"/>
      <c r="V162" s="2"/>
      <c r="W162" s="2"/>
      <c r="X162" s="2"/>
    </row>
    <row r="163" ht="15.75" customHeight="1">
      <c r="R163" s="2"/>
      <c r="S163" s="2"/>
      <c r="T163" s="2"/>
      <c r="U163" s="2"/>
      <c r="V163" s="2"/>
      <c r="W163" s="2"/>
      <c r="X163" s="2"/>
    </row>
    <row r="164" ht="15.75" customHeight="1">
      <c r="R164" s="2"/>
      <c r="S164" s="2"/>
      <c r="T164" s="2"/>
      <c r="U164" s="2"/>
      <c r="V164" s="2"/>
      <c r="W164" s="2"/>
      <c r="X164" s="2"/>
    </row>
    <row r="165" ht="15.75" customHeight="1">
      <c r="R165" s="2"/>
      <c r="S165" s="2"/>
      <c r="T165" s="2"/>
      <c r="U165" s="2"/>
      <c r="V165" s="2"/>
      <c r="W165" s="2"/>
      <c r="X165" s="2"/>
    </row>
    <row r="166" ht="15.75" customHeight="1">
      <c r="R166" s="2"/>
      <c r="S166" s="2"/>
      <c r="T166" s="2"/>
      <c r="U166" s="2"/>
      <c r="V166" s="2"/>
      <c r="W166" s="2"/>
      <c r="X166" s="2"/>
    </row>
    <row r="167" ht="15.75" customHeight="1">
      <c r="R167" s="2"/>
      <c r="S167" s="2"/>
      <c r="T167" s="2"/>
      <c r="U167" s="2"/>
      <c r="V167" s="2"/>
      <c r="W167" s="2"/>
      <c r="X167" s="2"/>
    </row>
    <row r="168" ht="15.75" customHeight="1">
      <c r="R168" s="2"/>
      <c r="S168" s="2"/>
      <c r="T168" s="2"/>
      <c r="U168" s="2"/>
      <c r="V168" s="2"/>
      <c r="W168" s="2"/>
      <c r="X168" s="2"/>
    </row>
    <row r="169" ht="15.75" customHeight="1">
      <c r="R169" s="2"/>
      <c r="S169" s="2"/>
      <c r="T169" s="2"/>
      <c r="U169" s="2"/>
      <c r="V169" s="2"/>
      <c r="W169" s="2"/>
      <c r="X169" s="2"/>
    </row>
    <row r="170" ht="15.75" customHeight="1">
      <c r="R170" s="2"/>
      <c r="S170" s="2"/>
      <c r="T170" s="2"/>
      <c r="U170" s="2"/>
      <c r="V170" s="2"/>
      <c r="W170" s="2"/>
      <c r="X170" s="2"/>
    </row>
    <row r="171" ht="15.75" customHeight="1">
      <c r="R171" s="2"/>
      <c r="S171" s="2"/>
      <c r="T171" s="2"/>
      <c r="U171" s="2"/>
      <c r="V171" s="2"/>
      <c r="W171" s="2"/>
      <c r="X171" s="2"/>
    </row>
    <row r="172" ht="15.75" customHeight="1">
      <c r="R172" s="2"/>
      <c r="S172" s="2"/>
      <c r="T172" s="2"/>
      <c r="U172" s="2"/>
      <c r="V172" s="2"/>
      <c r="W172" s="2"/>
      <c r="X172" s="2"/>
    </row>
    <row r="173" ht="15.75" customHeight="1">
      <c r="R173" s="2"/>
      <c r="S173" s="2"/>
      <c r="T173" s="2"/>
      <c r="U173" s="2"/>
      <c r="V173" s="2"/>
      <c r="W173" s="2"/>
      <c r="X173" s="2"/>
    </row>
    <row r="174" ht="15.75" customHeight="1">
      <c r="R174" s="2"/>
      <c r="S174" s="2"/>
      <c r="T174" s="2"/>
      <c r="U174" s="2"/>
      <c r="V174" s="2"/>
      <c r="W174" s="2"/>
      <c r="X174" s="2"/>
    </row>
    <row r="175" ht="15.75" customHeight="1">
      <c r="R175" s="2"/>
      <c r="S175" s="2"/>
      <c r="T175" s="2"/>
      <c r="U175" s="2"/>
      <c r="V175" s="2"/>
      <c r="W175" s="2"/>
      <c r="X175" s="2"/>
    </row>
    <row r="176" ht="15.75" customHeight="1">
      <c r="R176" s="2"/>
      <c r="S176" s="2"/>
      <c r="T176" s="2"/>
      <c r="U176" s="2"/>
      <c r="V176" s="2"/>
      <c r="W176" s="2"/>
      <c r="X176" s="2"/>
    </row>
    <row r="177" ht="15.75" customHeight="1">
      <c r="R177" s="2"/>
      <c r="S177" s="2"/>
      <c r="T177" s="2"/>
      <c r="U177" s="2"/>
      <c r="V177" s="2"/>
      <c r="W177" s="2"/>
      <c r="X177" s="2"/>
    </row>
    <row r="178" ht="15.75" customHeight="1">
      <c r="R178" s="2"/>
      <c r="S178" s="2"/>
      <c r="T178" s="2"/>
      <c r="U178" s="2"/>
      <c r="V178" s="2"/>
      <c r="W178" s="2"/>
      <c r="X178" s="2"/>
    </row>
    <row r="179" ht="15.75" customHeight="1">
      <c r="R179" s="2"/>
      <c r="S179" s="2"/>
      <c r="T179" s="2"/>
      <c r="U179" s="2"/>
      <c r="V179" s="2"/>
      <c r="W179" s="2"/>
      <c r="X179" s="2"/>
    </row>
    <row r="180" ht="15.75" customHeight="1">
      <c r="R180" s="2"/>
      <c r="S180" s="2"/>
      <c r="T180" s="2"/>
      <c r="U180" s="2"/>
      <c r="V180" s="2"/>
      <c r="W180" s="2"/>
      <c r="X180" s="2"/>
    </row>
    <row r="181" ht="15.75" customHeight="1">
      <c r="R181" s="2"/>
      <c r="S181" s="2"/>
      <c r="T181" s="2"/>
      <c r="U181" s="2"/>
      <c r="V181" s="2"/>
      <c r="W181" s="2"/>
      <c r="X181" s="2"/>
    </row>
    <row r="182" ht="15.75" customHeight="1">
      <c r="R182" s="2"/>
      <c r="S182" s="2"/>
      <c r="T182" s="2"/>
      <c r="U182" s="2"/>
      <c r="V182" s="2"/>
      <c r="W182" s="2"/>
      <c r="X182" s="2"/>
    </row>
    <row r="183" ht="15.75" customHeight="1">
      <c r="R183" s="2"/>
      <c r="S183" s="2"/>
      <c r="T183" s="2"/>
      <c r="U183" s="2"/>
      <c r="V183" s="2"/>
      <c r="W183" s="2"/>
      <c r="X183" s="2"/>
    </row>
    <row r="184" ht="15.75" customHeight="1">
      <c r="R184" s="2"/>
      <c r="S184" s="2"/>
      <c r="T184" s="2"/>
      <c r="U184" s="2"/>
      <c r="V184" s="2"/>
      <c r="W184" s="2"/>
      <c r="X184" s="2"/>
    </row>
    <row r="185" ht="15.75" customHeight="1">
      <c r="R185" s="2"/>
      <c r="S185" s="2"/>
      <c r="T185" s="2"/>
      <c r="U185" s="2"/>
      <c r="V185" s="2"/>
      <c r="W185" s="2"/>
      <c r="X185" s="2"/>
    </row>
    <row r="186" ht="15.75" customHeight="1">
      <c r="R186" s="2"/>
      <c r="S186" s="2"/>
      <c r="T186" s="2"/>
      <c r="U186" s="2"/>
      <c r="V186" s="2"/>
      <c r="W186" s="2"/>
      <c r="X186" s="2"/>
    </row>
    <row r="187" ht="15.75" customHeight="1">
      <c r="R187" s="2"/>
      <c r="S187" s="2"/>
      <c r="T187" s="2"/>
      <c r="U187" s="2"/>
      <c r="V187" s="2"/>
      <c r="W187" s="2"/>
      <c r="X187" s="2"/>
    </row>
    <row r="188" ht="15.75" customHeight="1">
      <c r="R188" s="2"/>
      <c r="S188" s="2"/>
      <c r="T188" s="2"/>
      <c r="U188" s="2"/>
      <c r="V188" s="2"/>
      <c r="W188" s="2"/>
      <c r="X188" s="2"/>
    </row>
    <row r="189" ht="15.75" customHeight="1">
      <c r="R189" s="2"/>
      <c r="S189" s="2"/>
      <c r="T189" s="2"/>
      <c r="U189" s="2"/>
      <c r="V189" s="2"/>
      <c r="W189" s="2"/>
      <c r="X189" s="2"/>
    </row>
    <row r="190" ht="15.75" customHeight="1">
      <c r="R190" s="2"/>
      <c r="S190" s="2"/>
      <c r="T190" s="2"/>
      <c r="U190" s="2"/>
      <c r="V190" s="2"/>
      <c r="W190" s="2"/>
      <c r="X190" s="2"/>
    </row>
    <row r="191" ht="15.75" customHeight="1">
      <c r="R191" s="2"/>
      <c r="S191" s="2"/>
      <c r="T191" s="2"/>
      <c r="U191" s="2"/>
      <c r="V191" s="2"/>
      <c r="W191" s="2"/>
      <c r="X191" s="2"/>
    </row>
    <row r="192" ht="15.75" customHeight="1">
      <c r="R192" s="2"/>
      <c r="S192" s="2"/>
      <c r="T192" s="2"/>
      <c r="U192" s="2"/>
      <c r="V192" s="2"/>
      <c r="W192" s="2"/>
      <c r="X192" s="2"/>
    </row>
    <row r="193" ht="15.75" customHeight="1">
      <c r="R193" s="2"/>
      <c r="S193" s="2"/>
      <c r="T193" s="2"/>
      <c r="U193" s="2"/>
      <c r="V193" s="2"/>
      <c r="W193" s="2"/>
      <c r="X193" s="2"/>
    </row>
    <row r="194" ht="15.75" customHeight="1">
      <c r="R194" s="2"/>
      <c r="S194" s="2"/>
      <c r="T194" s="2"/>
      <c r="U194" s="2"/>
      <c r="V194" s="2"/>
      <c r="W194" s="2"/>
      <c r="X194" s="2"/>
    </row>
    <row r="195" ht="15.75" customHeight="1">
      <c r="R195" s="2"/>
      <c r="S195" s="2"/>
      <c r="T195" s="2"/>
      <c r="U195" s="2"/>
      <c r="V195" s="2"/>
      <c r="W195" s="2"/>
      <c r="X195" s="2"/>
    </row>
    <row r="196" ht="15.75" customHeight="1">
      <c r="R196" s="2"/>
      <c r="S196" s="2"/>
      <c r="T196" s="2"/>
      <c r="U196" s="2"/>
      <c r="V196" s="2"/>
      <c r="W196" s="2"/>
      <c r="X196" s="2"/>
    </row>
    <row r="197" ht="15.75" customHeight="1">
      <c r="R197" s="2"/>
      <c r="S197" s="2"/>
      <c r="T197" s="2"/>
      <c r="U197" s="2"/>
      <c r="V197" s="2"/>
      <c r="W197" s="2"/>
      <c r="X197" s="2"/>
    </row>
    <row r="198" ht="15.75" customHeight="1">
      <c r="R198" s="2"/>
      <c r="S198" s="2"/>
      <c r="T198" s="2"/>
      <c r="U198" s="2"/>
      <c r="V198" s="2"/>
      <c r="W198" s="2"/>
      <c r="X198" s="2"/>
    </row>
    <row r="199" ht="15.75" customHeight="1">
      <c r="R199" s="2"/>
      <c r="S199" s="2"/>
      <c r="T199" s="2"/>
      <c r="U199" s="2"/>
      <c r="V199" s="2"/>
      <c r="W199" s="2"/>
      <c r="X199" s="2"/>
    </row>
    <row r="200" ht="15.75" customHeight="1">
      <c r="R200" s="2"/>
      <c r="S200" s="2"/>
      <c r="T200" s="2"/>
      <c r="U200" s="2"/>
      <c r="V200" s="2"/>
      <c r="W200" s="2"/>
      <c r="X200" s="2"/>
    </row>
    <row r="201" ht="15.75" customHeight="1">
      <c r="R201" s="2"/>
      <c r="S201" s="2"/>
      <c r="T201" s="2"/>
      <c r="U201" s="2"/>
      <c r="V201" s="2"/>
      <c r="W201" s="2"/>
      <c r="X201" s="2"/>
    </row>
    <row r="202" ht="15.75" customHeight="1">
      <c r="R202" s="2"/>
      <c r="S202" s="2"/>
      <c r="T202" s="2"/>
      <c r="U202" s="2"/>
      <c r="V202" s="2"/>
      <c r="W202" s="2"/>
      <c r="X202" s="2"/>
    </row>
    <row r="203" ht="15.75" customHeight="1">
      <c r="R203" s="2"/>
      <c r="S203" s="2"/>
      <c r="T203" s="2"/>
      <c r="U203" s="2"/>
      <c r="V203" s="2"/>
      <c r="W203" s="2"/>
      <c r="X203" s="2"/>
    </row>
    <row r="204" ht="15.75" customHeight="1">
      <c r="R204" s="2"/>
      <c r="S204" s="2"/>
      <c r="T204" s="2"/>
      <c r="U204" s="2"/>
      <c r="V204" s="2"/>
      <c r="W204" s="2"/>
      <c r="X204" s="2"/>
    </row>
    <row r="205" ht="15.75" customHeight="1">
      <c r="R205" s="2"/>
      <c r="S205" s="2"/>
      <c r="T205" s="2"/>
      <c r="U205" s="2"/>
      <c r="V205" s="2"/>
      <c r="W205" s="2"/>
      <c r="X205" s="2"/>
    </row>
    <row r="206" ht="15.75" customHeight="1">
      <c r="R206" s="2"/>
      <c r="S206" s="2"/>
      <c r="T206" s="2"/>
      <c r="U206" s="2"/>
      <c r="V206" s="2"/>
      <c r="W206" s="2"/>
      <c r="X206" s="2"/>
    </row>
    <row r="207" ht="15.75" customHeight="1">
      <c r="R207" s="2"/>
      <c r="S207" s="2"/>
      <c r="T207" s="2"/>
      <c r="U207" s="2"/>
      <c r="V207" s="2"/>
      <c r="W207" s="2"/>
      <c r="X207" s="2"/>
    </row>
    <row r="208" ht="15.75" customHeight="1">
      <c r="R208" s="2"/>
      <c r="S208" s="2"/>
      <c r="T208" s="2"/>
      <c r="U208" s="2"/>
      <c r="V208" s="2"/>
      <c r="W208" s="2"/>
      <c r="X208" s="2"/>
    </row>
    <row r="209" ht="15.75" customHeight="1">
      <c r="R209" s="2"/>
      <c r="S209" s="2"/>
      <c r="T209" s="2"/>
      <c r="U209" s="2"/>
      <c r="V209" s="2"/>
      <c r="W209" s="2"/>
      <c r="X209" s="2"/>
    </row>
    <row r="210" ht="15.75" customHeight="1">
      <c r="R210" s="2"/>
      <c r="S210" s="2"/>
      <c r="T210" s="2"/>
      <c r="U210" s="2"/>
      <c r="V210" s="2"/>
      <c r="W210" s="2"/>
      <c r="X210" s="2"/>
    </row>
    <row r="211" ht="15.75" customHeight="1">
      <c r="R211" s="2"/>
      <c r="S211" s="2"/>
      <c r="T211" s="2"/>
      <c r="U211" s="2"/>
      <c r="V211" s="2"/>
      <c r="W211" s="2"/>
      <c r="X211" s="2"/>
    </row>
    <row r="212" ht="15.75" customHeight="1">
      <c r="R212" s="2"/>
      <c r="S212" s="2"/>
      <c r="T212" s="2"/>
      <c r="U212" s="2"/>
      <c r="V212" s="2"/>
      <c r="W212" s="2"/>
      <c r="X212" s="2"/>
    </row>
    <row r="213" ht="15.75" customHeight="1">
      <c r="R213" s="2"/>
      <c r="S213" s="2"/>
      <c r="T213" s="2"/>
      <c r="U213" s="2"/>
      <c r="V213" s="2"/>
      <c r="W213" s="2"/>
      <c r="X213" s="2"/>
    </row>
    <row r="214" ht="15.75" customHeight="1">
      <c r="R214" s="2"/>
      <c r="S214" s="2"/>
      <c r="T214" s="2"/>
      <c r="U214" s="2"/>
      <c r="V214" s="2"/>
      <c r="W214" s="2"/>
      <c r="X214" s="2"/>
    </row>
    <row r="215" ht="15.75" customHeight="1">
      <c r="R215" s="2"/>
      <c r="S215" s="2"/>
      <c r="T215" s="2"/>
      <c r="U215" s="2"/>
      <c r="V215" s="2"/>
      <c r="W215" s="2"/>
      <c r="X215" s="2"/>
    </row>
    <row r="216" ht="15.75" customHeight="1">
      <c r="R216" s="2"/>
      <c r="S216" s="2"/>
      <c r="T216" s="2"/>
      <c r="U216" s="2"/>
      <c r="V216" s="2"/>
      <c r="W216" s="2"/>
      <c r="X216" s="2"/>
    </row>
    <row r="217" ht="15.75" customHeight="1">
      <c r="R217" s="2"/>
      <c r="S217" s="2"/>
      <c r="T217" s="2"/>
      <c r="U217" s="2"/>
      <c r="V217" s="2"/>
      <c r="W217" s="2"/>
      <c r="X217" s="2"/>
    </row>
    <row r="218" ht="15.75" customHeight="1">
      <c r="R218" s="2"/>
      <c r="S218" s="2"/>
      <c r="T218" s="2"/>
      <c r="U218" s="2"/>
      <c r="V218" s="2"/>
      <c r="W218" s="2"/>
      <c r="X218" s="2"/>
    </row>
    <row r="219" ht="15.75" customHeight="1">
      <c r="R219" s="2"/>
      <c r="S219" s="2"/>
      <c r="T219" s="2"/>
      <c r="U219" s="2"/>
      <c r="V219" s="2"/>
      <c r="W219" s="2"/>
      <c r="X219" s="2"/>
    </row>
    <row r="220" ht="15.75" customHeight="1">
      <c r="R220" s="2"/>
      <c r="S220" s="2"/>
      <c r="T220" s="2"/>
      <c r="U220" s="2"/>
      <c r="V220" s="2"/>
      <c r="W220" s="2"/>
      <c r="X220" s="2"/>
    </row>
    <row r="221" ht="15.75" customHeight="1">
      <c r="R221" s="2"/>
      <c r="S221" s="2"/>
      <c r="T221" s="2"/>
      <c r="U221" s="2"/>
      <c r="V221" s="2"/>
      <c r="W221" s="2"/>
      <c r="X221" s="2"/>
    </row>
    <row r="222" ht="15.75" customHeight="1">
      <c r="R222" s="2"/>
      <c r="S222" s="2"/>
      <c r="T222" s="2"/>
      <c r="U222" s="2"/>
      <c r="V222" s="2"/>
      <c r="W222" s="2"/>
      <c r="X222" s="2"/>
    </row>
    <row r="223" ht="15.75" customHeight="1">
      <c r="R223" s="2"/>
      <c r="S223" s="2"/>
      <c r="T223" s="2"/>
      <c r="U223" s="2"/>
      <c r="V223" s="2"/>
      <c r="W223" s="2"/>
      <c r="X223" s="2"/>
    </row>
    <row r="224" ht="15.75" customHeight="1">
      <c r="R224" s="2"/>
      <c r="S224" s="2"/>
      <c r="T224" s="2"/>
      <c r="U224" s="2"/>
      <c r="V224" s="2"/>
      <c r="W224" s="2"/>
      <c r="X224" s="2"/>
    </row>
    <row r="225" ht="15.75" customHeight="1">
      <c r="R225" s="2"/>
      <c r="S225" s="2"/>
      <c r="T225" s="2"/>
      <c r="U225" s="2"/>
      <c r="V225" s="2"/>
      <c r="W225" s="2"/>
      <c r="X225" s="2"/>
    </row>
    <row r="226" ht="15.75" customHeight="1">
      <c r="R226" s="2"/>
      <c r="S226" s="2"/>
      <c r="T226" s="2"/>
      <c r="U226" s="2"/>
      <c r="V226" s="2"/>
      <c r="W226" s="2"/>
      <c r="X226" s="2"/>
    </row>
    <row r="227" ht="15.75" customHeight="1">
      <c r="R227" s="2"/>
      <c r="S227" s="2"/>
      <c r="T227" s="2"/>
      <c r="U227" s="2"/>
      <c r="V227" s="2"/>
      <c r="W227" s="2"/>
      <c r="X227" s="2"/>
    </row>
    <row r="228" ht="15.75" customHeight="1">
      <c r="R228" s="2"/>
      <c r="S228" s="2"/>
      <c r="T228" s="2"/>
      <c r="U228" s="2"/>
      <c r="V228" s="2"/>
      <c r="W228" s="2"/>
      <c r="X228" s="2"/>
    </row>
    <row r="229" ht="15.75" customHeight="1">
      <c r="R229" s="2"/>
      <c r="S229" s="2"/>
      <c r="T229" s="2"/>
      <c r="U229" s="2"/>
      <c r="V229" s="2"/>
      <c r="W229" s="2"/>
      <c r="X229" s="2"/>
    </row>
    <row r="230" ht="15.75" customHeight="1">
      <c r="R230" s="2"/>
      <c r="S230" s="2"/>
      <c r="T230" s="2"/>
      <c r="U230" s="2"/>
      <c r="V230" s="2"/>
      <c r="W230" s="2"/>
      <c r="X230" s="2"/>
    </row>
    <row r="231" ht="15.75" customHeight="1">
      <c r="R231" s="2"/>
      <c r="S231" s="2"/>
      <c r="T231" s="2"/>
      <c r="U231" s="2"/>
      <c r="V231" s="2"/>
      <c r="W231" s="2"/>
      <c r="X231" s="2"/>
    </row>
    <row r="232" ht="15.75" customHeight="1">
      <c r="R232" s="2"/>
      <c r="S232" s="2"/>
      <c r="T232" s="2"/>
      <c r="U232" s="2"/>
      <c r="V232" s="2"/>
      <c r="W232" s="2"/>
      <c r="X232" s="2"/>
    </row>
    <row r="233" ht="15.75" customHeight="1">
      <c r="R233" s="2"/>
      <c r="S233" s="2"/>
      <c r="T233" s="2"/>
      <c r="U233" s="2"/>
      <c r="V233" s="2"/>
      <c r="W233" s="2"/>
      <c r="X233" s="2"/>
    </row>
    <row r="234" ht="15.75" customHeight="1">
      <c r="R234" s="2"/>
      <c r="S234" s="2"/>
      <c r="T234" s="2"/>
      <c r="U234" s="2"/>
      <c r="V234" s="2"/>
      <c r="W234" s="2"/>
      <c r="X234" s="2"/>
    </row>
    <row r="235" ht="15.75" customHeight="1">
      <c r="R235" s="2"/>
      <c r="S235" s="2"/>
      <c r="T235" s="2"/>
      <c r="U235" s="2"/>
      <c r="V235" s="2"/>
      <c r="W235" s="2"/>
      <c r="X235" s="2"/>
    </row>
    <row r="236" ht="15.75" customHeight="1">
      <c r="R236" s="2"/>
      <c r="S236" s="2"/>
      <c r="T236" s="2"/>
      <c r="U236" s="2"/>
      <c r="V236" s="2"/>
      <c r="W236" s="2"/>
      <c r="X236" s="2"/>
    </row>
    <row r="237" ht="15.75" customHeight="1">
      <c r="R237" s="2"/>
      <c r="S237" s="2"/>
      <c r="T237" s="2"/>
      <c r="U237" s="2"/>
      <c r="V237" s="2"/>
      <c r="W237" s="2"/>
      <c r="X237" s="2"/>
    </row>
    <row r="238" ht="15.75" customHeight="1">
      <c r="R238" s="2"/>
      <c r="S238" s="2"/>
      <c r="T238" s="2"/>
      <c r="U238" s="2"/>
      <c r="V238" s="2"/>
      <c r="W238" s="2"/>
      <c r="X238" s="2"/>
    </row>
    <row r="239" ht="15.75" customHeight="1">
      <c r="R239" s="2"/>
      <c r="S239" s="2"/>
      <c r="T239" s="2"/>
      <c r="U239" s="2"/>
      <c r="V239" s="2"/>
      <c r="W239" s="2"/>
      <c r="X239" s="2"/>
    </row>
    <row r="240" ht="15.75" customHeight="1">
      <c r="R240" s="2"/>
      <c r="S240" s="2"/>
      <c r="T240" s="2"/>
      <c r="U240" s="2"/>
      <c r="V240" s="2"/>
      <c r="W240" s="2"/>
      <c r="X240" s="2"/>
    </row>
    <row r="241" ht="15.75" customHeight="1">
      <c r="R241" s="2"/>
      <c r="S241" s="2"/>
      <c r="T241" s="2"/>
      <c r="U241" s="2"/>
      <c r="V241" s="2"/>
      <c r="W241" s="2"/>
      <c r="X241" s="2"/>
    </row>
    <row r="242" ht="15.75" customHeight="1">
      <c r="R242" s="2"/>
      <c r="S242" s="2"/>
      <c r="T242" s="2"/>
      <c r="U242" s="2"/>
      <c r="V242" s="2"/>
      <c r="W242" s="2"/>
      <c r="X242" s="2"/>
    </row>
    <row r="243" ht="15.75" customHeight="1">
      <c r="R243" s="2"/>
      <c r="S243" s="2"/>
      <c r="T243" s="2"/>
      <c r="U243" s="2"/>
      <c r="V243" s="2"/>
      <c r="W243" s="2"/>
      <c r="X243" s="2"/>
    </row>
    <row r="244" ht="15.75" customHeight="1">
      <c r="R244" s="2"/>
      <c r="S244" s="2"/>
      <c r="T244" s="2"/>
      <c r="U244" s="2"/>
      <c r="V244" s="2"/>
      <c r="W244" s="2"/>
      <c r="X244" s="2"/>
    </row>
    <row r="245" ht="15.75" customHeight="1">
      <c r="R245" s="2"/>
      <c r="S245" s="2"/>
      <c r="T245" s="2"/>
      <c r="U245" s="2"/>
      <c r="V245" s="2"/>
      <c r="W245" s="2"/>
      <c r="X245" s="2"/>
    </row>
    <row r="246" ht="15.75" customHeight="1">
      <c r="R246" s="2"/>
      <c r="S246" s="2"/>
      <c r="T246" s="2"/>
      <c r="U246" s="2"/>
      <c r="V246" s="2"/>
      <c r="W246" s="2"/>
      <c r="X246" s="2"/>
    </row>
    <row r="247" ht="15.75" customHeight="1">
      <c r="R247" s="2"/>
      <c r="S247" s="2"/>
      <c r="T247" s="2"/>
      <c r="U247" s="2"/>
      <c r="V247" s="2"/>
      <c r="W247" s="2"/>
      <c r="X247" s="2"/>
    </row>
    <row r="248" ht="15.75" customHeight="1">
      <c r="R248" s="2"/>
      <c r="S248" s="2"/>
      <c r="T248" s="2"/>
      <c r="U248" s="2"/>
      <c r="V248" s="2"/>
      <c r="W248" s="2"/>
      <c r="X248" s="2"/>
    </row>
    <row r="249" ht="15.75" customHeight="1">
      <c r="R249" s="2"/>
      <c r="S249" s="2"/>
      <c r="T249" s="2"/>
      <c r="U249" s="2"/>
      <c r="V249" s="2"/>
      <c r="W249" s="2"/>
      <c r="X249" s="2"/>
    </row>
    <row r="250" ht="15.75" customHeight="1">
      <c r="R250" s="2"/>
      <c r="S250" s="2"/>
      <c r="T250" s="2"/>
      <c r="U250" s="2"/>
      <c r="V250" s="2"/>
      <c r="W250" s="2"/>
      <c r="X250" s="2"/>
    </row>
    <row r="251" ht="15.75" customHeight="1">
      <c r="R251" s="2"/>
      <c r="S251" s="2"/>
      <c r="T251" s="2"/>
      <c r="U251" s="2"/>
      <c r="V251" s="2"/>
      <c r="W251" s="2"/>
      <c r="X251" s="2"/>
    </row>
    <row r="252" ht="15.75" customHeight="1">
      <c r="R252" s="2"/>
      <c r="S252" s="2"/>
      <c r="T252" s="2"/>
      <c r="U252" s="2"/>
      <c r="V252" s="2"/>
      <c r="W252" s="2"/>
      <c r="X252" s="2"/>
    </row>
    <row r="253" ht="15.75" customHeight="1">
      <c r="R253" s="2"/>
      <c r="S253" s="2"/>
      <c r="T253" s="2"/>
      <c r="U253" s="2"/>
      <c r="V253" s="2"/>
      <c r="W253" s="2"/>
      <c r="X253" s="2"/>
    </row>
    <row r="254" ht="15.75" customHeight="1">
      <c r="R254" s="2"/>
      <c r="S254" s="2"/>
      <c r="T254" s="2"/>
      <c r="U254" s="2"/>
      <c r="V254" s="2"/>
      <c r="W254" s="2"/>
      <c r="X254" s="2"/>
    </row>
    <row r="255" ht="15.75" customHeight="1">
      <c r="R255" s="2"/>
      <c r="S255" s="2"/>
      <c r="T255" s="2"/>
      <c r="U255" s="2"/>
      <c r="V255" s="2"/>
      <c r="W255" s="2"/>
      <c r="X255" s="2"/>
    </row>
    <row r="256" ht="15.75" customHeight="1">
      <c r="R256" s="2"/>
      <c r="S256" s="2"/>
      <c r="T256" s="2"/>
      <c r="U256" s="2"/>
      <c r="V256" s="2"/>
      <c r="W256" s="2"/>
      <c r="X256" s="2"/>
    </row>
    <row r="257" ht="15.75" customHeight="1">
      <c r="R257" s="2"/>
      <c r="S257" s="2"/>
      <c r="T257" s="2"/>
      <c r="U257" s="2"/>
      <c r="V257" s="2"/>
      <c r="W257" s="2"/>
      <c r="X257" s="2"/>
    </row>
    <row r="258" ht="15.75" customHeight="1">
      <c r="R258" s="2"/>
      <c r="S258" s="2"/>
      <c r="T258" s="2"/>
      <c r="U258" s="2"/>
      <c r="V258" s="2"/>
      <c r="W258" s="2"/>
      <c r="X258" s="2"/>
    </row>
    <row r="259" ht="15.75" customHeight="1">
      <c r="R259" s="2"/>
      <c r="S259" s="2"/>
      <c r="T259" s="2"/>
      <c r="U259" s="2"/>
      <c r="V259" s="2"/>
      <c r="W259" s="2"/>
      <c r="X259" s="2"/>
    </row>
    <row r="260" ht="15.75" customHeight="1">
      <c r="R260" s="2"/>
      <c r="S260" s="2"/>
      <c r="T260" s="2"/>
      <c r="U260" s="2"/>
      <c r="V260" s="2"/>
      <c r="W260" s="2"/>
      <c r="X260" s="2"/>
    </row>
    <row r="261" ht="15.75" customHeight="1">
      <c r="R261" s="2"/>
      <c r="S261" s="2"/>
      <c r="T261" s="2"/>
      <c r="U261" s="2"/>
      <c r="V261" s="2"/>
      <c r="W261" s="2"/>
      <c r="X261" s="2"/>
    </row>
    <row r="262" ht="15.75" customHeight="1">
      <c r="R262" s="2"/>
      <c r="S262" s="2"/>
      <c r="T262" s="2"/>
      <c r="U262" s="2"/>
      <c r="V262" s="2"/>
      <c r="W262" s="2"/>
      <c r="X262" s="2"/>
    </row>
    <row r="263" ht="15.75" customHeight="1">
      <c r="R263" s="2"/>
      <c r="S263" s="2"/>
      <c r="T263" s="2"/>
      <c r="U263" s="2"/>
      <c r="V263" s="2"/>
      <c r="W263" s="2"/>
      <c r="X263" s="2"/>
    </row>
    <row r="264" ht="15.75" customHeight="1">
      <c r="R264" s="2"/>
      <c r="S264" s="2"/>
      <c r="T264" s="2"/>
      <c r="U264" s="2"/>
      <c r="V264" s="2"/>
      <c r="W264" s="2"/>
      <c r="X264" s="2"/>
    </row>
    <row r="265" ht="15.75" customHeight="1">
      <c r="R265" s="2"/>
      <c r="S265" s="2"/>
      <c r="T265" s="2"/>
      <c r="U265" s="2"/>
      <c r="V265" s="2"/>
      <c r="W265" s="2"/>
      <c r="X265" s="2"/>
    </row>
    <row r="266" ht="15.75" customHeight="1">
      <c r="R266" s="2"/>
      <c r="S266" s="2"/>
      <c r="T266" s="2"/>
      <c r="U266" s="2"/>
      <c r="V266" s="2"/>
      <c r="W266" s="2"/>
      <c r="X266" s="2"/>
    </row>
    <row r="267" ht="15.75" customHeight="1">
      <c r="R267" s="2"/>
      <c r="S267" s="2"/>
      <c r="T267" s="2"/>
      <c r="U267" s="2"/>
      <c r="V267" s="2"/>
      <c r="W267" s="2"/>
      <c r="X267" s="2"/>
    </row>
    <row r="268" ht="15.75" customHeight="1">
      <c r="R268" s="2"/>
      <c r="S268" s="2"/>
      <c r="T268" s="2"/>
      <c r="U268" s="2"/>
      <c r="V268" s="2"/>
      <c r="W268" s="2"/>
      <c r="X268" s="2"/>
    </row>
    <row r="269" ht="15.75" customHeight="1">
      <c r="R269" s="2"/>
      <c r="S269" s="2"/>
      <c r="T269" s="2"/>
      <c r="U269" s="2"/>
      <c r="V269" s="2"/>
      <c r="W269" s="2"/>
      <c r="X269" s="2"/>
    </row>
    <row r="270" ht="15.75" customHeight="1">
      <c r="R270" s="2"/>
      <c r="S270" s="2"/>
      <c r="T270" s="2"/>
      <c r="U270" s="2"/>
      <c r="V270" s="2"/>
      <c r="W270" s="2"/>
      <c r="X270" s="2"/>
    </row>
    <row r="271" ht="15.75" customHeight="1">
      <c r="R271" s="2"/>
      <c r="S271" s="2"/>
      <c r="T271" s="2"/>
      <c r="U271" s="2"/>
      <c r="V271" s="2"/>
      <c r="W271" s="2"/>
      <c r="X271" s="2"/>
    </row>
    <row r="272" ht="15.75" customHeight="1">
      <c r="R272" s="2"/>
      <c r="S272" s="2"/>
      <c r="T272" s="2"/>
      <c r="U272" s="2"/>
      <c r="V272" s="2"/>
      <c r="W272" s="2"/>
      <c r="X272" s="2"/>
    </row>
    <row r="273" ht="15.75" customHeight="1">
      <c r="R273" s="2"/>
      <c r="S273" s="2"/>
      <c r="T273" s="2"/>
      <c r="U273" s="2"/>
      <c r="V273" s="2"/>
      <c r="W273" s="2"/>
      <c r="X273" s="2"/>
    </row>
    <row r="274" ht="15.75" customHeight="1">
      <c r="R274" s="2"/>
      <c r="S274" s="2"/>
      <c r="T274" s="2"/>
      <c r="U274" s="2"/>
      <c r="V274" s="2"/>
      <c r="W274" s="2"/>
      <c r="X274" s="2"/>
    </row>
    <row r="275" ht="15.75" customHeight="1">
      <c r="R275" s="2"/>
      <c r="S275" s="2"/>
      <c r="T275" s="2"/>
      <c r="U275" s="2"/>
      <c r="V275" s="2"/>
      <c r="W275" s="2"/>
      <c r="X275" s="2"/>
    </row>
    <row r="276" ht="15.75" customHeight="1">
      <c r="R276" s="2"/>
      <c r="S276" s="2"/>
      <c r="T276" s="2"/>
      <c r="U276" s="2"/>
      <c r="V276" s="2"/>
      <c r="W276" s="2"/>
      <c r="X276" s="2"/>
    </row>
    <row r="277" ht="15.75" customHeight="1">
      <c r="R277" s="2"/>
      <c r="S277" s="2"/>
      <c r="T277" s="2"/>
      <c r="U277" s="2"/>
      <c r="V277" s="2"/>
      <c r="W277" s="2"/>
      <c r="X277" s="2"/>
    </row>
    <row r="278" ht="15.75" customHeight="1">
      <c r="R278" s="2"/>
      <c r="S278" s="2"/>
      <c r="T278" s="2"/>
      <c r="U278" s="2"/>
      <c r="V278" s="2"/>
      <c r="W278" s="2"/>
      <c r="X278" s="2"/>
    </row>
    <row r="279" ht="15.75" customHeight="1">
      <c r="R279" s="2"/>
      <c r="S279" s="2"/>
      <c r="T279" s="2"/>
      <c r="U279" s="2"/>
      <c r="V279" s="2"/>
      <c r="W279" s="2"/>
      <c r="X279" s="2"/>
    </row>
    <row r="280" ht="15.75" customHeight="1">
      <c r="R280" s="2"/>
      <c r="S280" s="2"/>
      <c r="T280" s="2"/>
      <c r="U280" s="2"/>
      <c r="V280" s="2"/>
      <c r="W280" s="2"/>
      <c r="X280" s="2"/>
    </row>
    <row r="281" ht="15.75" customHeight="1">
      <c r="R281" s="2"/>
      <c r="S281" s="2"/>
      <c r="T281" s="2"/>
      <c r="U281" s="2"/>
      <c r="V281" s="2"/>
      <c r="W281" s="2"/>
      <c r="X281" s="2"/>
    </row>
    <row r="282" ht="15.75" customHeight="1">
      <c r="R282" s="2"/>
      <c r="S282" s="2"/>
      <c r="T282" s="2"/>
      <c r="U282" s="2"/>
      <c r="V282" s="2"/>
      <c r="W282" s="2"/>
      <c r="X282" s="2"/>
    </row>
    <row r="283" ht="15.75" customHeight="1">
      <c r="R283" s="2"/>
      <c r="S283" s="2"/>
      <c r="T283" s="2"/>
      <c r="U283" s="2"/>
      <c r="V283" s="2"/>
      <c r="W283" s="2"/>
      <c r="X283" s="2"/>
    </row>
    <row r="284" ht="15.75" customHeight="1">
      <c r="R284" s="2"/>
      <c r="S284" s="2"/>
      <c r="T284" s="2"/>
      <c r="U284" s="2"/>
      <c r="V284" s="2"/>
      <c r="W284" s="2"/>
      <c r="X284" s="2"/>
    </row>
    <row r="285" ht="15.75" customHeight="1">
      <c r="R285" s="2"/>
      <c r="S285" s="2"/>
      <c r="T285" s="2"/>
      <c r="U285" s="2"/>
      <c r="V285" s="2"/>
      <c r="W285" s="2"/>
      <c r="X285" s="2"/>
    </row>
    <row r="286" ht="15.75" customHeight="1">
      <c r="R286" s="2"/>
      <c r="S286" s="2"/>
      <c r="T286" s="2"/>
      <c r="U286" s="2"/>
      <c r="V286" s="2"/>
      <c r="W286" s="2"/>
      <c r="X286" s="2"/>
    </row>
    <row r="287" ht="15.75" customHeight="1">
      <c r="R287" s="2"/>
      <c r="S287" s="2"/>
      <c r="T287" s="2"/>
      <c r="U287" s="2"/>
      <c r="V287" s="2"/>
      <c r="W287" s="2"/>
      <c r="X287" s="2"/>
    </row>
    <row r="288" ht="15.75" customHeight="1">
      <c r="R288" s="2"/>
      <c r="S288" s="2"/>
      <c r="T288" s="2"/>
      <c r="U288" s="2"/>
      <c r="V288" s="2"/>
      <c r="W288" s="2"/>
      <c r="X288" s="2"/>
    </row>
    <row r="289" ht="15.75" customHeight="1">
      <c r="R289" s="2"/>
      <c r="S289" s="2"/>
      <c r="T289" s="2"/>
      <c r="U289" s="2"/>
      <c r="V289" s="2"/>
      <c r="W289" s="2"/>
      <c r="X289" s="2"/>
    </row>
    <row r="290" ht="15.75" customHeight="1">
      <c r="R290" s="2"/>
      <c r="S290" s="2"/>
      <c r="T290" s="2"/>
      <c r="U290" s="2"/>
      <c r="V290" s="2"/>
      <c r="W290" s="2"/>
      <c r="X290" s="2"/>
    </row>
    <row r="291" ht="15.75" customHeight="1">
      <c r="R291" s="2"/>
      <c r="S291" s="2"/>
      <c r="T291" s="2"/>
      <c r="U291" s="2"/>
      <c r="V291" s="2"/>
      <c r="W291" s="2"/>
      <c r="X291" s="2"/>
    </row>
    <row r="292" ht="15.75" customHeight="1">
      <c r="R292" s="2"/>
      <c r="S292" s="2"/>
      <c r="T292" s="2"/>
      <c r="U292" s="2"/>
      <c r="V292" s="2"/>
      <c r="W292" s="2"/>
      <c r="X292" s="2"/>
    </row>
    <row r="293" ht="15.75" customHeight="1">
      <c r="R293" s="2"/>
      <c r="S293" s="2"/>
      <c r="T293" s="2"/>
      <c r="U293" s="2"/>
      <c r="V293" s="2"/>
      <c r="W293" s="2"/>
      <c r="X293" s="2"/>
    </row>
    <row r="294" ht="15.75" customHeight="1">
      <c r="R294" s="2"/>
      <c r="S294" s="2"/>
      <c r="T294" s="2"/>
      <c r="U294" s="2"/>
      <c r="V294" s="2"/>
      <c r="W294" s="2"/>
      <c r="X294" s="2"/>
    </row>
    <row r="295" ht="15.75" customHeight="1">
      <c r="R295" s="2"/>
      <c r="S295" s="2"/>
      <c r="T295" s="2"/>
      <c r="U295" s="2"/>
      <c r="V295" s="2"/>
      <c r="W295" s="2"/>
      <c r="X295" s="2"/>
    </row>
    <row r="296" ht="15.75" customHeight="1">
      <c r="R296" s="2"/>
      <c r="S296" s="2"/>
      <c r="T296" s="2"/>
      <c r="U296" s="2"/>
      <c r="V296" s="2"/>
      <c r="W296" s="2"/>
      <c r="X296" s="2"/>
    </row>
    <row r="297" ht="15.75" customHeight="1">
      <c r="R297" s="2"/>
      <c r="S297" s="2"/>
      <c r="T297" s="2"/>
      <c r="U297" s="2"/>
      <c r="V297" s="2"/>
      <c r="W297" s="2"/>
      <c r="X297" s="2"/>
    </row>
    <row r="298" ht="15.75" customHeight="1">
      <c r="R298" s="2"/>
      <c r="S298" s="2"/>
      <c r="T298" s="2"/>
      <c r="U298" s="2"/>
      <c r="V298" s="2"/>
      <c r="W298" s="2"/>
      <c r="X298" s="2"/>
    </row>
    <row r="299" ht="15.75" customHeight="1">
      <c r="R299" s="2"/>
      <c r="S299" s="2"/>
      <c r="T299" s="2"/>
      <c r="U299" s="2"/>
      <c r="V299" s="2"/>
      <c r="W299" s="2"/>
      <c r="X299" s="2"/>
    </row>
    <row r="300" ht="15.75" customHeight="1">
      <c r="R300" s="2"/>
      <c r="S300" s="2"/>
      <c r="T300" s="2"/>
      <c r="U300" s="2"/>
      <c r="V300" s="2"/>
      <c r="W300" s="2"/>
      <c r="X300" s="2"/>
    </row>
    <row r="301" ht="15.75" customHeight="1">
      <c r="R301" s="2"/>
      <c r="S301" s="2"/>
      <c r="T301" s="2"/>
      <c r="U301" s="2"/>
      <c r="V301" s="2"/>
      <c r="W301" s="2"/>
      <c r="X301" s="2"/>
    </row>
    <row r="302" ht="15.75" customHeight="1">
      <c r="R302" s="2"/>
      <c r="S302" s="2"/>
      <c r="T302" s="2"/>
      <c r="U302" s="2"/>
      <c r="V302" s="2"/>
      <c r="W302" s="2"/>
      <c r="X302" s="2"/>
    </row>
    <row r="303" ht="15.75" customHeight="1">
      <c r="R303" s="2"/>
      <c r="S303" s="2"/>
      <c r="T303" s="2"/>
      <c r="U303" s="2"/>
      <c r="V303" s="2"/>
      <c r="W303" s="2"/>
      <c r="X303" s="2"/>
    </row>
    <row r="304" ht="15.75" customHeight="1">
      <c r="R304" s="2"/>
      <c r="S304" s="2"/>
      <c r="T304" s="2"/>
      <c r="U304" s="2"/>
      <c r="V304" s="2"/>
      <c r="W304" s="2"/>
      <c r="X304" s="2"/>
    </row>
    <row r="305" ht="15.75" customHeight="1">
      <c r="R305" s="2"/>
      <c r="S305" s="2"/>
      <c r="T305" s="2"/>
      <c r="U305" s="2"/>
      <c r="V305" s="2"/>
      <c r="W305" s="2"/>
      <c r="X305" s="2"/>
    </row>
    <row r="306" ht="15.75" customHeight="1">
      <c r="R306" s="2"/>
      <c r="S306" s="2"/>
      <c r="T306" s="2"/>
      <c r="U306" s="2"/>
      <c r="V306" s="2"/>
      <c r="W306" s="2"/>
      <c r="X306" s="2"/>
    </row>
    <row r="307" ht="15.75" customHeight="1">
      <c r="R307" s="2"/>
      <c r="S307" s="2"/>
      <c r="T307" s="2"/>
      <c r="U307" s="2"/>
      <c r="V307" s="2"/>
      <c r="W307" s="2"/>
      <c r="X307" s="2"/>
    </row>
    <row r="308" ht="15.75" customHeight="1">
      <c r="R308" s="2"/>
      <c r="S308" s="2"/>
      <c r="T308" s="2"/>
      <c r="U308" s="2"/>
      <c r="V308" s="2"/>
      <c r="W308" s="2"/>
      <c r="X308" s="2"/>
    </row>
    <row r="309" ht="15.75" customHeight="1">
      <c r="R309" s="2"/>
      <c r="S309" s="2"/>
      <c r="T309" s="2"/>
      <c r="U309" s="2"/>
      <c r="V309" s="2"/>
      <c r="W309" s="2"/>
      <c r="X309" s="2"/>
    </row>
    <row r="310" ht="15.75" customHeight="1">
      <c r="R310" s="2"/>
      <c r="S310" s="2"/>
      <c r="T310" s="2"/>
      <c r="U310" s="2"/>
      <c r="V310" s="2"/>
      <c r="W310" s="2"/>
      <c r="X310" s="2"/>
    </row>
    <row r="311" ht="15.75" customHeight="1">
      <c r="R311" s="2"/>
      <c r="S311" s="2"/>
      <c r="T311" s="2"/>
      <c r="U311" s="2"/>
      <c r="V311" s="2"/>
      <c r="W311" s="2"/>
      <c r="X311" s="2"/>
    </row>
    <row r="312" ht="15.75" customHeight="1">
      <c r="R312" s="2"/>
      <c r="S312" s="2"/>
      <c r="T312" s="2"/>
      <c r="U312" s="2"/>
      <c r="V312" s="2"/>
      <c r="W312" s="2"/>
      <c r="X312" s="2"/>
    </row>
    <row r="313" ht="15.75" customHeight="1">
      <c r="R313" s="2"/>
      <c r="S313" s="2"/>
      <c r="T313" s="2"/>
      <c r="U313" s="2"/>
      <c r="V313" s="2"/>
      <c r="W313" s="2"/>
      <c r="X313" s="2"/>
    </row>
    <row r="314" ht="15.75" customHeight="1">
      <c r="R314" s="2"/>
      <c r="S314" s="2"/>
      <c r="T314" s="2"/>
      <c r="U314" s="2"/>
      <c r="V314" s="2"/>
      <c r="W314" s="2"/>
      <c r="X314" s="2"/>
    </row>
    <row r="315" ht="15.75" customHeight="1">
      <c r="R315" s="2"/>
      <c r="S315" s="2"/>
      <c r="T315" s="2"/>
      <c r="U315" s="2"/>
      <c r="V315" s="2"/>
      <c r="W315" s="2"/>
      <c r="X315" s="2"/>
    </row>
    <row r="316" ht="15.75" customHeight="1">
      <c r="R316" s="2"/>
      <c r="S316" s="2"/>
      <c r="T316" s="2"/>
      <c r="U316" s="2"/>
      <c r="V316" s="2"/>
      <c r="W316" s="2"/>
      <c r="X316" s="2"/>
    </row>
    <row r="317" ht="15.75" customHeight="1">
      <c r="R317" s="2"/>
      <c r="S317" s="2"/>
      <c r="T317" s="2"/>
      <c r="U317" s="2"/>
      <c r="V317" s="2"/>
      <c r="W317" s="2"/>
      <c r="X317" s="2"/>
    </row>
    <row r="318" ht="15.75" customHeight="1">
      <c r="R318" s="2"/>
      <c r="S318" s="2"/>
      <c r="T318" s="2"/>
      <c r="U318" s="2"/>
      <c r="V318" s="2"/>
      <c r="W318" s="2"/>
      <c r="X318" s="2"/>
    </row>
    <row r="319" ht="15.75" customHeight="1">
      <c r="R319" s="2"/>
      <c r="S319" s="2"/>
      <c r="T319" s="2"/>
      <c r="U319" s="2"/>
      <c r="V319" s="2"/>
      <c r="W319" s="2"/>
      <c r="X319" s="2"/>
    </row>
    <row r="320" ht="15.75" customHeight="1">
      <c r="R320" s="2"/>
      <c r="S320" s="2"/>
      <c r="T320" s="2"/>
      <c r="U320" s="2"/>
      <c r="V320" s="2"/>
      <c r="W320" s="2"/>
      <c r="X320" s="2"/>
    </row>
    <row r="321" ht="15.75" customHeight="1">
      <c r="R321" s="2"/>
      <c r="S321" s="2"/>
      <c r="T321" s="2"/>
      <c r="U321" s="2"/>
      <c r="V321" s="2"/>
      <c r="W321" s="2"/>
      <c r="X321" s="2"/>
    </row>
    <row r="322" ht="15.75" customHeight="1">
      <c r="R322" s="2"/>
      <c r="S322" s="2"/>
      <c r="T322" s="2"/>
      <c r="U322" s="2"/>
      <c r="V322" s="2"/>
      <c r="W322" s="2"/>
      <c r="X322" s="2"/>
    </row>
    <row r="323" ht="15.75" customHeight="1">
      <c r="R323" s="2"/>
      <c r="S323" s="2"/>
      <c r="T323" s="2"/>
      <c r="U323" s="2"/>
      <c r="V323" s="2"/>
      <c r="W323" s="2"/>
      <c r="X323" s="2"/>
    </row>
    <row r="324" ht="15.75" customHeight="1">
      <c r="R324" s="2"/>
      <c r="S324" s="2"/>
      <c r="T324" s="2"/>
      <c r="U324" s="2"/>
      <c r="V324" s="2"/>
      <c r="W324" s="2"/>
      <c r="X324" s="2"/>
    </row>
    <row r="325" ht="15.75" customHeight="1">
      <c r="R325" s="2"/>
      <c r="S325" s="2"/>
      <c r="T325" s="2"/>
      <c r="U325" s="2"/>
      <c r="V325" s="2"/>
      <c r="W325" s="2"/>
      <c r="X325" s="2"/>
    </row>
    <row r="326" ht="15.75" customHeight="1">
      <c r="R326" s="2"/>
      <c r="S326" s="2"/>
      <c r="T326" s="2"/>
      <c r="U326" s="2"/>
      <c r="V326" s="2"/>
      <c r="W326" s="2"/>
      <c r="X326" s="2"/>
    </row>
    <row r="327" ht="15.75" customHeight="1">
      <c r="R327" s="2"/>
      <c r="S327" s="2"/>
      <c r="T327" s="2"/>
      <c r="U327" s="2"/>
      <c r="V327" s="2"/>
      <c r="W327" s="2"/>
      <c r="X327" s="2"/>
    </row>
    <row r="328" ht="15.75" customHeight="1">
      <c r="R328" s="2"/>
      <c r="S328" s="2"/>
      <c r="T328" s="2"/>
      <c r="U328" s="2"/>
      <c r="V328" s="2"/>
      <c r="W328" s="2"/>
      <c r="X328" s="2"/>
    </row>
    <row r="329" ht="15.75" customHeight="1">
      <c r="R329" s="2"/>
      <c r="S329" s="2"/>
      <c r="T329" s="2"/>
      <c r="U329" s="2"/>
      <c r="V329" s="2"/>
      <c r="W329" s="2"/>
      <c r="X329" s="2"/>
    </row>
    <row r="330" ht="15.75" customHeight="1">
      <c r="R330" s="2"/>
      <c r="S330" s="2"/>
      <c r="T330" s="2"/>
      <c r="U330" s="2"/>
      <c r="V330" s="2"/>
      <c r="W330" s="2"/>
      <c r="X330" s="2"/>
    </row>
    <row r="331" ht="15.75" customHeight="1">
      <c r="R331" s="2"/>
      <c r="S331" s="2"/>
      <c r="T331" s="2"/>
      <c r="U331" s="2"/>
      <c r="V331" s="2"/>
      <c r="W331" s="2"/>
      <c r="X331" s="2"/>
    </row>
    <row r="332" ht="15.75" customHeight="1">
      <c r="R332" s="2"/>
      <c r="S332" s="2"/>
      <c r="T332" s="2"/>
      <c r="U332" s="2"/>
      <c r="V332" s="2"/>
      <c r="W332" s="2"/>
      <c r="X332" s="2"/>
    </row>
    <row r="333" ht="15.75" customHeight="1">
      <c r="R333" s="2"/>
      <c r="S333" s="2"/>
      <c r="T333" s="2"/>
      <c r="U333" s="2"/>
      <c r="V333" s="2"/>
      <c r="W333" s="2"/>
      <c r="X333" s="2"/>
    </row>
    <row r="334" ht="15.75" customHeight="1">
      <c r="R334" s="2"/>
      <c r="S334" s="2"/>
      <c r="T334" s="2"/>
      <c r="U334" s="2"/>
      <c r="V334" s="2"/>
      <c r="W334" s="2"/>
      <c r="X334" s="2"/>
    </row>
    <row r="335" ht="15.75" customHeight="1">
      <c r="R335" s="2"/>
      <c r="S335" s="2"/>
      <c r="T335" s="2"/>
      <c r="U335" s="2"/>
      <c r="V335" s="2"/>
      <c r="W335" s="2"/>
      <c r="X335" s="2"/>
    </row>
    <row r="336" ht="15.75" customHeight="1">
      <c r="R336" s="2"/>
      <c r="S336" s="2"/>
      <c r="T336" s="2"/>
      <c r="U336" s="2"/>
      <c r="V336" s="2"/>
      <c r="W336" s="2"/>
      <c r="X336" s="2"/>
    </row>
    <row r="337" ht="15.75" customHeight="1">
      <c r="R337" s="2"/>
      <c r="S337" s="2"/>
      <c r="T337" s="2"/>
      <c r="U337" s="2"/>
      <c r="V337" s="2"/>
      <c r="W337" s="2"/>
      <c r="X337" s="2"/>
    </row>
    <row r="338" ht="15.75" customHeight="1">
      <c r="R338" s="2"/>
      <c r="S338" s="2"/>
      <c r="T338" s="2"/>
      <c r="U338" s="2"/>
      <c r="V338" s="2"/>
      <c r="W338" s="2"/>
      <c r="X338" s="2"/>
    </row>
    <row r="339" ht="15.75" customHeight="1">
      <c r="R339" s="2"/>
      <c r="S339" s="2"/>
      <c r="T339" s="2"/>
      <c r="U339" s="2"/>
      <c r="V339" s="2"/>
      <c r="W339" s="2"/>
      <c r="X339" s="2"/>
    </row>
    <row r="340" ht="15.75" customHeight="1">
      <c r="R340" s="2"/>
      <c r="S340" s="2"/>
      <c r="T340" s="2"/>
      <c r="U340" s="2"/>
      <c r="V340" s="2"/>
      <c r="W340" s="2"/>
      <c r="X340" s="2"/>
    </row>
    <row r="341" ht="15.75" customHeight="1">
      <c r="R341" s="2"/>
      <c r="S341" s="2"/>
      <c r="T341" s="2"/>
      <c r="U341" s="2"/>
      <c r="V341" s="2"/>
      <c r="W341" s="2"/>
      <c r="X341" s="2"/>
    </row>
    <row r="342" ht="15.75" customHeight="1">
      <c r="R342" s="2"/>
      <c r="S342" s="2"/>
      <c r="T342" s="2"/>
      <c r="U342" s="2"/>
      <c r="V342" s="2"/>
      <c r="W342" s="2"/>
      <c r="X342" s="2"/>
    </row>
    <row r="343" ht="15.75" customHeight="1">
      <c r="R343" s="2"/>
      <c r="S343" s="2"/>
      <c r="T343" s="2"/>
      <c r="U343" s="2"/>
      <c r="V343" s="2"/>
      <c r="W343" s="2"/>
      <c r="X343" s="2"/>
    </row>
    <row r="344" ht="15.75" customHeight="1">
      <c r="R344" s="2"/>
      <c r="S344" s="2"/>
      <c r="T344" s="2"/>
      <c r="U344" s="2"/>
      <c r="V344" s="2"/>
      <c r="W344" s="2"/>
      <c r="X344" s="2"/>
    </row>
    <row r="345" ht="15.75" customHeight="1">
      <c r="R345" s="2"/>
      <c r="S345" s="2"/>
      <c r="T345" s="2"/>
      <c r="U345" s="2"/>
      <c r="V345" s="2"/>
      <c r="W345" s="2"/>
      <c r="X345" s="2"/>
    </row>
    <row r="346" ht="15.75" customHeight="1">
      <c r="R346" s="2"/>
      <c r="S346" s="2"/>
      <c r="T346" s="2"/>
      <c r="U346" s="2"/>
      <c r="V346" s="2"/>
      <c r="W346" s="2"/>
      <c r="X346" s="2"/>
    </row>
    <row r="347" ht="15.75" customHeight="1">
      <c r="R347" s="2"/>
      <c r="S347" s="2"/>
      <c r="T347" s="2"/>
      <c r="U347" s="2"/>
      <c r="V347" s="2"/>
      <c r="W347" s="2"/>
      <c r="X347" s="2"/>
    </row>
    <row r="348" ht="15.75" customHeight="1">
      <c r="R348" s="2"/>
      <c r="S348" s="2"/>
      <c r="T348" s="2"/>
      <c r="U348" s="2"/>
      <c r="V348" s="2"/>
      <c r="W348" s="2"/>
      <c r="X348" s="2"/>
    </row>
    <row r="349" ht="15.75" customHeight="1">
      <c r="R349" s="2"/>
      <c r="S349" s="2"/>
      <c r="T349" s="2"/>
      <c r="U349" s="2"/>
      <c r="V349" s="2"/>
      <c r="W349" s="2"/>
      <c r="X349" s="2"/>
    </row>
    <row r="350" ht="15.75" customHeight="1">
      <c r="R350" s="2"/>
      <c r="S350" s="2"/>
      <c r="T350" s="2"/>
      <c r="U350" s="2"/>
      <c r="V350" s="2"/>
      <c r="W350" s="2"/>
      <c r="X350" s="2"/>
    </row>
    <row r="351" ht="15.75" customHeight="1">
      <c r="R351" s="2"/>
      <c r="S351" s="2"/>
      <c r="T351" s="2"/>
      <c r="U351" s="2"/>
      <c r="V351" s="2"/>
      <c r="W351" s="2"/>
      <c r="X351" s="2"/>
    </row>
    <row r="352" ht="15.75" customHeight="1">
      <c r="R352" s="2"/>
      <c r="S352" s="2"/>
      <c r="T352" s="2"/>
      <c r="U352" s="2"/>
      <c r="V352" s="2"/>
      <c r="W352" s="2"/>
      <c r="X352" s="2"/>
    </row>
    <row r="353" ht="15.75" customHeight="1">
      <c r="R353" s="2"/>
      <c r="S353" s="2"/>
      <c r="T353" s="2"/>
      <c r="U353" s="2"/>
      <c r="V353" s="2"/>
      <c r="W353" s="2"/>
      <c r="X353" s="2"/>
    </row>
    <row r="354" ht="15.75" customHeight="1">
      <c r="R354" s="2"/>
      <c r="S354" s="2"/>
      <c r="T354" s="2"/>
      <c r="U354" s="2"/>
      <c r="V354" s="2"/>
      <c r="W354" s="2"/>
      <c r="X354" s="2"/>
    </row>
    <row r="355" ht="15.75" customHeight="1">
      <c r="R355" s="2"/>
      <c r="S355" s="2"/>
      <c r="T355" s="2"/>
      <c r="U355" s="2"/>
      <c r="V355" s="2"/>
      <c r="W355" s="2"/>
      <c r="X355" s="2"/>
    </row>
    <row r="356" ht="15.75" customHeight="1">
      <c r="R356" s="2"/>
      <c r="S356" s="2"/>
      <c r="T356" s="2"/>
      <c r="U356" s="2"/>
      <c r="V356" s="2"/>
      <c r="W356" s="2"/>
      <c r="X356" s="2"/>
    </row>
    <row r="357" ht="15.75" customHeight="1">
      <c r="R357" s="2"/>
      <c r="S357" s="2"/>
      <c r="T357" s="2"/>
      <c r="U357" s="2"/>
      <c r="V357" s="2"/>
      <c r="W357" s="2"/>
      <c r="X357" s="2"/>
    </row>
    <row r="358" ht="15.75" customHeight="1">
      <c r="R358" s="2"/>
      <c r="S358" s="2"/>
      <c r="T358" s="2"/>
      <c r="U358" s="2"/>
      <c r="V358" s="2"/>
      <c r="W358" s="2"/>
      <c r="X358" s="2"/>
    </row>
    <row r="359" ht="15.75" customHeight="1">
      <c r="R359" s="2"/>
      <c r="S359" s="2"/>
      <c r="T359" s="2"/>
      <c r="U359" s="2"/>
      <c r="V359" s="2"/>
      <c r="W359" s="2"/>
      <c r="X359" s="2"/>
    </row>
    <row r="360" ht="15.75" customHeight="1">
      <c r="R360" s="2"/>
      <c r="S360" s="2"/>
      <c r="T360" s="2"/>
      <c r="U360" s="2"/>
      <c r="V360" s="2"/>
      <c r="W360" s="2"/>
      <c r="X360" s="2"/>
    </row>
    <row r="361" ht="15.75" customHeight="1">
      <c r="R361" s="2"/>
      <c r="S361" s="2"/>
      <c r="T361" s="2"/>
      <c r="U361" s="2"/>
      <c r="V361" s="2"/>
      <c r="W361" s="2"/>
      <c r="X361" s="2"/>
    </row>
    <row r="362" ht="15.75" customHeight="1">
      <c r="R362" s="2"/>
      <c r="S362" s="2"/>
      <c r="T362" s="2"/>
      <c r="U362" s="2"/>
      <c r="V362" s="2"/>
      <c r="W362" s="2"/>
      <c r="X362" s="2"/>
    </row>
    <row r="363" ht="15.75" customHeight="1">
      <c r="R363" s="2"/>
      <c r="S363" s="2"/>
      <c r="T363" s="2"/>
      <c r="U363" s="2"/>
      <c r="V363" s="2"/>
      <c r="W363" s="2"/>
      <c r="X363" s="2"/>
    </row>
    <row r="364" ht="15.75" customHeight="1">
      <c r="R364" s="2"/>
      <c r="S364" s="2"/>
      <c r="T364" s="2"/>
      <c r="U364" s="2"/>
      <c r="V364" s="2"/>
      <c r="W364" s="2"/>
      <c r="X364" s="2"/>
    </row>
    <row r="365" ht="15.75" customHeight="1">
      <c r="R365" s="2"/>
      <c r="S365" s="2"/>
      <c r="T365" s="2"/>
      <c r="U365" s="2"/>
      <c r="V365" s="2"/>
      <c r="W365" s="2"/>
      <c r="X365" s="2"/>
    </row>
    <row r="366" ht="15.75" customHeight="1">
      <c r="R366" s="2"/>
      <c r="S366" s="2"/>
      <c r="T366" s="2"/>
      <c r="U366" s="2"/>
      <c r="V366" s="2"/>
      <c r="W366" s="2"/>
      <c r="X366" s="2"/>
    </row>
    <row r="367" ht="15.75" customHeight="1">
      <c r="R367" s="2"/>
      <c r="S367" s="2"/>
      <c r="T367" s="2"/>
      <c r="U367" s="2"/>
      <c r="V367" s="2"/>
      <c r="W367" s="2"/>
      <c r="X367" s="2"/>
    </row>
    <row r="368" ht="15.75" customHeight="1">
      <c r="R368" s="2"/>
      <c r="S368" s="2"/>
      <c r="T368" s="2"/>
      <c r="U368" s="2"/>
      <c r="V368" s="2"/>
      <c r="W368" s="2"/>
      <c r="X368" s="2"/>
    </row>
    <row r="369" ht="15.75" customHeight="1">
      <c r="R369" s="2"/>
      <c r="S369" s="2"/>
      <c r="T369" s="2"/>
      <c r="U369" s="2"/>
      <c r="V369" s="2"/>
      <c r="W369" s="2"/>
      <c r="X369" s="2"/>
    </row>
    <row r="370" ht="15.75" customHeight="1">
      <c r="R370" s="2"/>
      <c r="S370" s="2"/>
      <c r="T370" s="2"/>
      <c r="U370" s="2"/>
      <c r="V370" s="2"/>
      <c r="W370" s="2"/>
      <c r="X370" s="2"/>
    </row>
    <row r="371" ht="15.75" customHeight="1">
      <c r="R371" s="2"/>
      <c r="S371" s="2"/>
      <c r="T371" s="2"/>
      <c r="U371" s="2"/>
      <c r="V371" s="2"/>
      <c r="W371" s="2"/>
      <c r="X371" s="2"/>
    </row>
    <row r="372" ht="15.75" customHeight="1">
      <c r="R372" s="2"/>
      <c r="S372" s="2"/>
      <c r="T372" s="2"/>
      <c r="U372" s="2"/>
      <c r="V372" s="2"/>
      <c r="W372" s="2"/>
      <c r="X372" s="2"/>
    </row>
    <row r="373" ht="15.75" customHeight="1">
      <c r="R373" s="2"/>
      <c r="S373" s="2"/>
      <c r="T373" s="2"/>
      <c r="U373" s="2"/>
      <c r="V373" s="2"/>
      <c r="W373" s="2"/>
      <c r="X373" s="2"/>
    </row>
    <row r="374" ht="15.75" customHeight="1">
      <c r="R374" s="2"/>
      <c r="S374" s="2"/>
      <c r="T374" s="2"/>
      <c r="U374" s="2"/>
      <c r="V374" s="2"/>
      <c r="W374" s="2"/>
      <c r="X374" s="2"/>
    </row>
    <row r="375" ht="15.75" customHeight="1">
      <c r="R375" s="2"/>
      <c r="S375" s="2"/>
      <c r="T375" s="2"/>
      <c r="U375" s="2"/>
      <c r="V375" s="2"/>
      <c r="W375" s="2"/>
      <c r="X375" s="2"/>
    </row>
    <row r="376" ht="15.75" customHeight="1">
      <c r="R376" s="2"/>
      <c r="S376" s="2"/>
      <c r="T376" s="2"/>
      <c r="U376" s="2"/>
      <c r="V376" s="2"/>
      <c r="W376" s="2"/>
      <c r="X376" s="2"/>
    </row>
    <row r="377" ht="15.75" customHeight="1">
      <c r="R377" s="2"/>
      <c r="S377" s="2"/>
      <c r="T377" s="2"/>
      <c r="U377" s="2"/>
      <c r="V377" s="2"/>
      <c r="W377" s="2"/>
      <c r="X377" s="2"/>
    </row>
    <row r="378" ht="15.75" customHeight="1">
      <c r="R378" s="2"/>
      <c r="S378" s="2"/>
      <c r="T378" s="2"/>
      <c r="U378" s="2"/>
      <c r="V378" s="2"/>
      <c r="W378" s="2"/>
      <c r="X378" s="2"/>
    </row>
    <row r="379" ht="15.75" customHeight="1">
      <c r="R379" s="2"/>
      <c r="S379" s="2"/>
      <c r="T379" s="2"/>
      <c r="U379" s="2"/>
      <c r="V379" s="2"/>
      <c r="W379" s="2"/>
      <c r="X379" s="2"/>
    </row>
    <row r="380" ht="15.75" customHeight="1">
      <c r="R380" s="2"/>
      <c r="S380" s="2"/>
      <c r="T380" s="2"/>
      <c r="U380" s="2"/>
      <c r="V380" s="2"/>
      <c r="W380" s="2"/>
      <c r="X380" s="2"/>
    </row>
    <row r="381" ht="15.75" customHeight="1">
      <c r="R381" s="2"/>
      <c r="S381" s="2"/>
      <c r="T381" s="2"/>
      <c r="U381" s="2"/>
      <c r="V381" s="2"/>
      <c r="W381" s="2"/>
      <c r="X381" s="2"/>
    </row>
    <row r="382" ht="15.75" customHeight="1">
      <c r="R382" s="2"/>
      <c r="S382" s="2"/>
      <c r="T382" s="2"/>
      <c r="U382" s="2"/>
      <c r="V382" s="2"/>
      <c r="W382" s="2"/>
      <c r="X382" s="2"/>
    </row>
    <row r="383" ht="15.75" customHeight="1">
      <c r="R383" s="2"/>
      <c r="S383" s="2"/>
      <c r="T383" s="2"/>
      <c r="U383" s="2"/>
      <c r="V383" s="2"/>
      <c r="W383" s="2"/>
      <c r="X383" s="2"/>
    </row>
    <row r="384" ht="15.75" customHeight="1">
      <c r="R384" s="2"/>
      <c r="S384" s="2"/>
      <c r="T384" s="2"/>
      <c r="U384" s="2"/>
      <c r="V384" s="2"/>
      <c r="W384" s="2"/>
      <c r="X384" s="2"/>
    </row>
    <row r="385" ht="15.75" customHeight="1">
      <c r="R385" s="2"/>
      <c r="S385" s="2"/>
      <c r="T385" s="2"/>
      <c r="U385" s="2"/>
      <c r="V385" s="2"/>
      <c r="W385" s="2"/>
      <c r="X385" s="2"/>
    </row>
    <row r="386" ht="15.75" customHeight="1">
      <c r="R386" s="2"/>
      <c r="S386" s="2"/>
      <c r="T386" s="2"/>
      <c r="U386" s="2"/>
      <c r="V386" s="2"/>
      <c r="W386" s="2"/>
      <c r="X386" s="2"/>
    </row>
    <row r="387" ht="15.75" customHeight="1">
      <c r="R387" s="2"/>
      <c r="S387" s="2"/>
      <c r="T387" s="2"/>
      <c r="U387" s="2"/>
      <c r="V387" s="2"/>
      <c r="W387" s="2"/>
      <c r="X387" s="2"/>
    </row>
    <row r="388" ht="15.75" customHeight="1">
      <c r="R388" s="2"/>
      <c r="S388" s="2"/>
      <c r="T388" s="2"/>
      <c r="U388" s="2"/>
      <c r="V388" s="2"/>
      <c r="W388" s="2"/>
      <c r="X388" s="2"/>
    </row>
    <row r="389" ht="15.75" customHeight="1">
      <c r="R389" s="2"/>
      <c r="S389" s="2"/>
      <c r="T389" s="2"/>
      <c r="U389" s="2"/>
      <c r="V389" s="2"/>
      <c r="W389" s="2"/>
      <c r="X389" s="2"/>
    </row>
    <row r="390" ht="15.75" customHeight="1">
      <c r="R390" s="2"/>
      <c r="S390" s="2"/>
      <c r="T390" s="2"/>
      <c r="U390" s="2"/>
      <c r="V390" s="2"/>
      <c r="W390" s="2"/>
      <c r="X390" s="2"/>
    </row>
    <row r="391" ht="15.75" customHeight="1">
      <c r="R391" s="2"/>
      <c r="S391" s="2"/>
      <c r="T391" s="2"/>
      <c r="U391" s="2"/>
      <c r="V391" s="2"/>
      <c r="W391" s="2"/>
      <c r="X391" s="2"/>
    </row>
    <row r="392" ht="15.75" customHeight="1">
      <c r="R392" s="2"/>
      <c r="S392" s="2"/>
      <c r="T392" s="2"/>
      <c r="U392" s="2"/>
      <c r="V392" s="2"/>
      <c r="W392" s="2"/>
      <c r="X392" s="2"/>
    </row>
    <row r="393" ht="15.75" customHeight="1">
      <c r="R393" s="2"/>
      <c r="S393" s="2"/>
      <c r="T393" s="2"/>
      <c r="U393" s="2"/>
      <c r="V393" s="2"/>
      <c r="W393" s="2"/>
      <c r="X393" s="2"/>
    </row>
    <row r="394" ht="15.75" customHeight="1">
      <c r="R394" s="2"/>
      <c r="S394" s="2"/>
      <c r="T394" s="2"/>
      <c r="U394" s="2"/>
      <c r="V394" s="2"/>
      <c r="W394" s="2"/>
      <c r="X394" s="2"/>
    </row>
    <row r="395" ht="15.75" customHeight="1">
      <c r="R395" s="2"/>
      <c r="S395" s="2"/>
      <c r="T395" s="2"/>
      <c r="U395" s="2"/>
      <c r="V395" s="2"/>
      <c r="W395" s="2"/>
      <c r="X395" s="2"/>
    </row>
    <row r="396" ht="15.75" customHeight="1">
      <c r="R396" s="2"/>
      <c r="S396" s="2"/>
      <c r="T396" s="2"/>
      <c r="U396" s="2"/>
      <c r="V396" s="2"/>
      <c r="W396" s="2"/>
      <c r="X396" s="2"/>
    </row>
    <row r="397" ht="15.75" customHeight="1">
      <c r="R397" s="2"/>
      <c r="S397" s="2"/>
      <c r="T397" s="2"/>
      <c r="U397" s="2"/>
      <c r="V397" s="2"/>
      <c r="W397" s="2"/>
      <c r="X397" s="2"/>
    </row>
    <row r="398" ht="15.75" customHeight="1">
      <c r="R398" s="2"/>
      <c r="S398" s="2"/>
      <c r="T398" s="2"/>
      <c r="U398" s="2"/>
      <c r="V398" s="2"/>
      <c r="W398" s="2"/>
      <c r="X398" s="2"/>
    </row>
    <row r="399" ht="15.75" customHeight="1">
      <c r="R399" s="2"/>
      <c r="S399" s="2"/>
      <c r="T399" s="2"/>
      <c r="U399" s="2"/>
      <c r="V399" s="2"/>
      <c r="W399" s="2"/>
      <c r="X399" s="2"/>
    </row>
    <row r="400" ht="15.75" customHeight="1">
      <c r="R400" s="2"/>
      <c r="S400" s="2"/>
      <c r="T400" s="2"/>
      <c r="U400" s="2"/>
      <c r="V400" s="2"/>
      <c r="W400" s="2"/>
      <c r="X400" s="2"/>
    </row>
    <row r="401" ht="15.75" customHeight="1">
      <c r="R401" s="2"/>
      <c r="S401" s="2"/>
      <c r="T401" s="2"/>
      <c r="U401" s="2"/>
      <c r="V401" s="2"/>
      <c r="W401" s="2"/>
      <c r="X401" s="2"/>
    </row>
    <row r="402" ht="15.75" customHeight="1">
      <c r="R402" s="2"/>
      <c r="S402" s="2"/>
      <c r="T402" s="2"/>
      <c r="U402" s="2"/>
      <c r="V402" s="2"/>
      <c r="W402" s="2"/>
      <c r="X402" s="2"/>
    </row>
    <row r="403" ht="15.75" customHeight="1">
      <c r="R403" s="2"/>
      <c r="S403" s="2"/>
      <c r="T403" s="2"/>
      <c r="U403" s="2"/>
      <c r="V403" s="2"/>
      <c r="W403" s="2"/>
      <c r="X403" s="2"/>
    </row>
    <row r="404" ht="15.75" customHeight="1">
      <c r="R404" s="2"/>
      <c r="S404" s="2"/>
      <c r="T404" s="2"/>
      <c r="U404" s="2"/>
      <c r="V404" s="2"/>
      <c r="W404" s="2"/>
      <c r="X404" s="2"/>
    </row>
    <row r="405" ht="15.75" customHeight="1">
      <c r="R405" s="2"/>
      <c r="S405" s="2"/>
      <c r="T405" s="2"/>
      <c r="U405" s="2"/>
      <c r="V405" s="2"/>
      <c r="W405" s="2"/>
      <c r="X405" s="2"/>
    </row>
    <row r="406" ht="15.75" customHeight="1">
      <c r="R406" s="2"/>
      <c r="S406" s="2"/>
      <c r="T406" s="2"/>
      <c r="U406" s="2"/>
      <c r="V406" s="2"/>
      <c r="W406" s="2"/>
      <c r="X406" s="2"/>
    </row>
    <row r="407" ht="15.75" customHeight="1">
      <c r="R407" s="2"/>
      <c r="S407" s="2"/>
      <c r="T407" s="2"/>
      <c r="U407" s="2"/>
      <c r="V407" s="2"/>
      <c r="W407" s="2"/>
      <c r="X407" s="2"/>
    </row>
    <row r="408" ht="15.75" customHeight="1">
      <c r="R408" s="2"/>
      <c r="S408" s="2"/>
      <c r="T408" s="2"/>
      <c r="U408" s="2"/>
      <c r="V408" s="2"/>
      <c r="W408" s="2"/>
      <c r="X408" s="2"/>
    </row>
    <row r="409" ht="15.75" customHeight="1">
      <c r="R409" s="2"/>
      <c r="S409" s="2"/>
      <c r="T409" s="2"/>
      <c r="U409" s="2"/>
      <c r="V409" s="2"/>
      <c r="W409" s="2"/>
      <c r="X409" s="2"/>
    </row>
    <row r="410" ht="15.75" customHeight="1">
      <c r="R410" s="2"/>
      <c r="S410" s="2"/>
      <c r="T410" s="2"/>
      <c r="U410" s="2"/>
      <c r="V410" s="2"/>
      <c r="W410" s="2"/>
      <c r="X410" s="2"/>
    </row>
    <row r="411" ht="15.75" customHeight="1">
      <c r="R411" s="2"/>
      <c r="S411" s="2"/>
      <c r="T411" s="2"/>
      <c r="U411" s="2"/>
      <c r="V411" s="2"/>
      <c r="W411" s="2"/>
      <c r="X411" s="2"/>
    </row>
    <row r="412" ht="15.75" customHeight="1">
      <c r="R412" s="2"/>
      <c r="S412" s="2"/>
      <c r="T412" s="2"/>
      <c r="U412" s="2"/>
      <c r="V412" s="2"/>
      <c r="W412" s="2"/>
      <c r="X412" s="2"/>
    </row>
    <row r="413" ht="15.75" customHeight="1">
      <c r="R413" s="2"/>
      <c r="S413" s="2"/>
      <c r="T413" s="2"/>
      <c r="U413" s="2"/>
      <c r="V413" s="2"/>
      <c r="W413" s="2"/>
      <c r="X413" s="2"/>
    </row>
    <row r="414" ht="15.75" customHeight="1">
      <c r="R414" s="2"/>
      <c r="S414" s="2"/>
      <c r="T414" s="2"/>
      <c r="U414" s="2"/>
      <c r="V414" s="2"/>
      <c r="W414" s="2"/>
      <c r="X414" s="2"/>
    </row>
    <row r="415" ht="15.75" customHeight="1">
      <c r="R415" s="2"/>
      <c r="S415" s="2"/>
      <c r="T415" s="2"/>
      <c r="U415" s="2"/>
      <c r="V415" s="2"/>
      <c r="W415" s="2"/>
      <c r="X415" s="2"/>
    </row>
    <row r="416" ht="15.75" customHeight="1">
      <c r="R416" s="2"/>
      <c r="S416" s="2"/>
      <c r="T416" s="2"/>
      <c r="U416" s="2"/>
      <c r="V416" s="2"/>
      <c r="W416" s="2"/>
      <c r="X416" s="2"/>
    </row>
    <row r="417" ht="15.75" customHeight="1">
      <c r="R417" s="2"/>
      <c r="S417" s="2"/>
      <c r="T417" s="2"/>
      <c r="U417" s="2"/>
      <c r="V417" s="2"/>
      <c r="W417" s="2"/>
      <c r="X417" s="2"/>
    </row>
    <row r="418" ht="15.75" customHeight="1">
      <c r="R418" s="2"/>
      <c r="S418" s="2"/>
      <c r="T418" s="2"/>
      <c r="U418" s="2"/>
      <c r="V418" s="2"/>
      <c r="W418" s="2"/>
      <c r="X418" s="2"/>
    </row>
    <row r="419" ht="15.75" customHeight="1">
      <c r="R419" s="2"/>
      <c r="S419" s="2"/>
      <c r="T419" s="2"/>
      <c r="U419" s="2"/>
      <c r="V419" s="2"/>
      <c r="W419" s="2"/>
      <c r="X419" s="2"/>
    </row>
    <row r="420" ht="15.75" customHeight="1">
      <c r="R420" s="2"/>
      <c r="S420" s="2"/>
      <c r="T420" s="2"/>
      <c r="U420" s="2"/>
      <c r="V420" s="2"/>
      <c r="W420" s="2"/>
      <c r="X420" s="2"/>
    </row>
    <row r="421" ht="15.75" customHeight="1">
      <c r="R421" s="2"/>
      <c r="S421" s="2"/>
      <c r="T421" s="2"/>
      <c r="U421" s="2"/>
      <c r="V421" s="2"/>
      <c r="W421" s="2"/>
      <c r="X421" s="2"/>
    </row>
    <row r="422" ht="15.75" customHeight="1">
      <c r="R422" s="2"/>
      <c r="S422" s="2"/>
      <c r="T422" s="2"/>
      <c r="U422" s="2"/>
      <c r="V422" s="2"/>
      <c r="W422" s="2"/>
      <c r="X422" s="2"/>
    </row>
    <row r="423" ht="15.75" customHeight="1">
      <c r="R423" s="2"/>
      <c r="S423" s="2"/>
      <c r="T423" s="2"/>
      <c r="U423" s="2"/>
      <c r="V423" s="2"/>
      <c r="W423" s="2"/>
      <c r="X423" s="2"/>
    </row>
    <row r="424" ht="15.75" customHeight="1">
      <c r="R424" s="2"/>
      <c r="S424" s="2"/>
      <c r="T424" s="2"/>
      <c r="U424" s="2"/>
      <c r="V424" s="2"/>
      <c r="W424" s="2"/>
      <c r="X424" s="2"/>
    </row>
    <row r="425" ht="15.75" customHeight="1">
      <c r="R425" s="2"/>
      <c r="S425" s="2"/>
      <c r="T425" s="2"/>
      <c r="U425" s="2"/>
      <c r="V425" s="2"/>
      <c r="W425" s="2"/>
      <c r="X425" s="2"/>
    </row>
    <row r="426" ht="15.75" customHeight="1">
      <c r="R426" s="2"/>
      <c r="S426" s="2"/>
      <c r="T426" s="2"/>
      <c r="U426" s="2"/>
      <c r="V426" s="2"/>
      <c r="W426" s="2"/>
      <c r="X426" s="2"/>
    </row>
    <row r="427" ht="15.75" customHeight="1">
      <c r="R427" s="2"/>
      <c r="S427" s="2"/>
      <c r="T427" s="2"/>
      <c r="U427" s="2"/>
      <c r="V427" s="2"/>
      <c r="W427" s="2"/>
      <c r="X427" s="2"/>
    </row>
    <row r="428" ht="15.75" customHeight="1">
      <c r="R428" s="2"/>
      <c r="S428" s="2"/>
      <c r="T428" s="2"/>
      <c r="U428" s="2"/>
      <c r="V428" s="2"/>
      <c r="W428" s="2"/>
      <c r="X428" s="2"/>
    </row>
    <row r="429" ht="15.75" customHeight="1">
      <c r="R429" s="2"/>
      <c r="S429" s="2"/>
      <c r="T429" s="2"/>
      <c r="U429" s="2"/>
      <c r="V429" s="2"/>
      <c r="W429" s="2"/>
      <c r="X429" s="2"/>
    </row>
    <row r="430" ht="15.75" customHeight="1">
      <c r="R430" s="2"/>
      <c r="S430" s="2"/>
      <c r="T430" s="2"/>
      <c r="U430" s="2"/>
      <c r="V430" s="2"/>
      <c r="W430" s="2"/>
      <c r="X430" s="2"/>
    </row>
    <row r="431" ht="15.75" customHeight="1">
      <c r="R431" s="2"/>
      <c r="S431" s="2"/>
      <c r="T431" s="2"/>
      <c r="U431" s="2"/>
      <c r="V431" s="2"/>
      <c r="W431" s="2"/>
      <c r="X431" s="2"/>
    </row>
    <row r="432" ht="15.75" customHeight="1">
      <c r="R432" s="2"/>
      <c r="S432" s="2"/>
      <c r="T432" s="2"/>
      <c r="U432" s="2"/>
      <c r="V432" s="2"/>
      <c r="W432" s="2"/>
      <c r="X432" s="2"/>
    </row>
    <row r="433" ht="15.75" customHeight="1">
      <c r="R433" s="2"/>
      <c r="S433" s="2"/>
      <c r="T433" s="2"/>
      <c r="U433" s="2"/>
      <c r="V433" s="2"/>
      <c r="W433" s="2"/>
      <c r="X433" s="2"/>
    </row>
    <row r="434" ht="15.75" customHeight="1">
      <c r="R434" s="2"/>
      <c r="S434" s="2"/>
      <c r="T434" s="2"/>
      <c r="U434" s="2"/>
      <c r="V434" s="2"/>
      <c r="W434" s="2"/>
      <c r="X434" s="2"/>
    </row>
    <row r="435" ht="15.75" customHeight="1">
      <c r="R435" s="2"/>
      <c r="S435" s="2"/>
      <c r="T435" s="2"/>
      <c r="U435" s="2"/>
      <c r="V435" s="2"/>
      <c r="W435" s="2"/>
      <c r="X435" s="2"/>
    </row>
    <row r="436" ht="15.75" customHeight="1">
      <c r="R436" s="2"/>
      <c r="S436" s="2"/>
      <c r="T436" s="2"/>
      <c r="U436" s="2"/>
      <c r="V436" s="2"/>
      <c r="W436" s="2"/>
      <c r="X436" s="2"/>
    </row>
    <row r="437" ht="15.75" customHeight="1">
      <c r="R437" s="2"/>
      <c r="S437" s="2"/>
      <c r="T437" s="2"/>
      <c r="U437" s="2"/>
      <c r="V437" s="2"/>
      <c r="W437" s="2"/>
      <c r="X437" s="2"/>
    </row>
    <row r="438" ht="15.75" customHeight="1">
      <c r="R438" s="2"/>
      <c r="S438" s="2"/>
      <c r="T438" s="2"/>
      <c r="U438" s="2"/>
      <c r="V438" s="2"/>
      <c r="W438" s="2"/>
      <c r="X438" s="2"/>
    </row>
    <row r="439" ht="15.75" customHeight="1">
      <c r="R439" s="2"/>
      <c r="S439" s="2"/>
      <c r="T439" s="2"/>
      <c r="U439" s="2"/>
      <c r="V439" s="2"/>
      <c r="W439" s="2"/>
      <c r="X439" s="2"/>
    </row>
    <row r="440" ht="15.75" customHeight="1">
      <c r="R440" s="2"/>
      <c r="S440" s="2"/>
      <c r="T440" s="2"/>
      <c r="U440" s="2"/>
      <c r="V440" s="2"/>
      <c r="W440" s="2"/>
      <c r="X440" s="2"/>
    </row>
    <row r="441" ht="15.75" customHeight="1">
      <c r="R441" s="2"/>
      <c r="S441" s="2"/>
      <c r="T441" s="2"/>
      <c r="U441" s="2"/>
      <c r="V441" s="2"/>
      <c r="W441" s="2"/>
      <c r="X441" s="2"/>
    </row>
    <row r="442" ht="15.75" customHeight="1">
      <c r="R442" s="2"/>
      <c r="S442" s="2"/>
      <c r="T442" s="2"/>
      <c r="U442" s="2"/>
      <c r="V442" s="2"/>
      <c r="W442" s="2"/>
      <c r="X442" s="2"/>
    </row>
    <row r="443" ht="15.75" customHeight="1">
      <c r="R443" s="2"/>
      <c r="S443" s="2"/>
      <c r="T443" s="2"/>
      <c r="U443" s="2"/>
      <c r="V443" s="2"/>
      <c r="W443" s="2"/>
      <c r="X443" s="2"/>
    </row>
    <row r="444" ht="15.75" customHeight="1">
      <c r="R444" s="2"/>
      <c r="S444" s="2"/>
      <c r="T444" s="2"/>
      <c r="U444" s="2"/>
      <c r="V444" s="2"/>
      <c r="W444" s="2"/>
      <c r="X444" s="2"/>
    </row>
    <row r="445" ht="15.75" customHeight="1">
      <c r="R445" s="2"/>
      <c r="S445" s="2"/>
      <c r="T445" s="2"/>
      <c r="U445" s="2"/>
      <c r="V445" s="2"/>
      <c r="W445" s="2"/>
      <c r="X445" s="2"/>
    </row>
    <row r="446" ht="15.75" customHeight="1">
      <c r="R446" s="2"/>
      <c r="S446" s="2"/>
      <c r="T446" s="2"/>
      <c r="U446" s="2"/>
      <c r="V446" s="2"/>
      <c r="W446" s="2"/>
      <c r="X446" s="2"/>
    </row>
    <row r="447" ht="15.75" customHeight="1">
      <c r="R447" s="2"/>
      <c r="S447" s="2"/>
      <c r="T447" s="2"/>
      <c r="U447" s="2"/>
      <c r="V447" s="2"/>
      <c r="W447" s="2"/>
      <c r="X447" s="2"/>
    </row>
    <row r="448" ht="15.75" customHeight="1">
      <c r="R448" s="2"/>
      <c r="S448" s="2"/>
      <c r="T448" s="2"/>
      <c r="U448" s="2"/>
      <c r="V448" s="2"/>
      <c r="W448" s="2"/>
      <c r="X448" s="2"/>
    </row>
    <row r="449" ht="15.75" customHeight="1">
      <c r="R449" s="2"/>
      <c r="S449" s="2"/>
      <c r="T449" s="2"/>
      <c r="U449" s="2"/>
      <c r="V449" s="2"/>
      <c r="W449" s="2"/>
      <c r="X449" s="2"/>
    </row>
    <row r="450" ht="15.75" customHeight="1">
      <c r="R450" s="2"/>
      <c r="S450" s="2"/>
      <c r="T450" s="2"/>
      <c r="U450" s="2"/>
      <c r="V450" s="2"/>
      <c r="W450" s="2"/>
      <c r="X450" s="2"/>
    </row>
    <row r="451" ht="15.75" customHeight="1">
      <c r="R451" s="2"/>
      <c r="S451" s="2"/>
      <c r="T451" s="2"/>
      <c r="U451" s="2"/>
      <c r="V451" s="2"/>
      <c r="W451" s="2"/>
      <c r="X451" s="2"/>
    </row>
    <row r="452" ht="15.75" customHeight="1">
      <c r="R452" s="2"/>
      <c r="S452" s="2"/>
      <c r="T452" s="2"/>
      <c r="U452" s="2"/>
      <c r="V452" s="2"/>
      <c r="W452" s="2"/>
      <c r="X452" s="2"/>
    </row>
    <row r="453" ht="15.75" customHeight="1">
      <c r="R453" s="2"/>
      <c r="S453" s="2"/>
      <c r="T453" s="2"/>
      <c r="U453" s="2"/>
      <c r="V453" s="2"/>
      <c r="W453" s="2"/>
      <c r="X453" s="2"/>
    </row>
    <row r="454" ht="15.75" customHeight="1">
      <c r="R454" s="2"/>
      <c r="S454" s="2"/>
      <c r="T454" s="2"/>
      <c r="U454" s="2"/>
      <c r="V454" s="2"/>
      <c r="W454" s="2"/>
      <c r="X454" s="2"/>
    </row>
    <row r="455" ht="15.75" customHeight="1">
      <c r="R455" s="2"/>
      <c r="S455" s="2"/>
      <c r="T455" s="2"/>
      <c r="U455" s="2"/>
      <c r="V455" s="2"/>
      <c r="W455" s="2"/>
      <c r="X455" s="2"/>
    </row>
    <row r="456" ht="15.75" customHeight="1">
      <c r="R456" s="2"/>
      <c r="S456" s="2"/>
      <c r="T456" s="2"/>
      <c r="U456" s="2"/>
      <c r="V456" s="2"/>
      <c r="W456" s="2"/>
      <c r="X456" s="2"/>
    </row>
    <row r="457" ht="15.75" customHeight="1">
      <c r="R457" s="2"/>
      <c r="S457" s="2"/>
      <c r="T457" s="2"/>
      <c r="U457" s="2"/>
      <c r="V457" s="2"/>
      <c r="W457" s="2"/>
      <c r="X457" s="2"/>
    </row>
    <row r="458" ht="15.75" customHeight="1">
      <c r="R458" s="2"/>
      <c r="S458" s="2"/>
      <c r="T458" s="2"/>
      <c r="U458" s="2"/>
      <c r="V458" s="2"/>
      <c r="W458" s="2"/>
      <c r="X458" s="2"/>
    </row>
    <row r="459" ht="15.75" customHeight="1">
      <c r="R459" s="2"/>
      <c r="S459" s="2"/>
      <c r="T459" s="2"/>
      <c r="U459" s="2"/>
      <c r="V459" s="2"/>
      <c r="W459" s="2"/>
      <c r="X459" s="2"/>
    </row>
    <row r="460" ht="15.75" customHeight="1">
      <c r="R460" s="2"/>
      <c r="S460" s="2"/>
      <c r="T460" s="2"/>
      <c r="U460" s="2"/>
      <c r="V460" s="2"/>
      <c r="W460" s="2"/>
      <c r="X460" s="2"/>
    </row>
    <row r="461" ht="15.75" customHeight="1">
      <c r="R461" s="2"/>
      <c r="S461" s="2"/>
      <c r="T461" s="2"/>
      <c r="U461" s="2"/>
      <c r="V461" s="2"/>
      <c r="W461" s="2"/>
      <c r="X461" s="2"/>
    </row>
    <row r="462" ht="15.75" customHeight="1">
      <c r="R462" s="2"/>
      <c r="S462" s="2"/>
      <c r="T462" s="2"/>
      <c r="U462" s="2"/>
      <c r="V462" s="2"/>
      <c r="W462" s="2"/>
      <c r="X462" s="2"/>
    </row>
    <row r="463" ht="15.75" customHeight="1">
      <c r="R463" s="2"/>
      <c r="S463" s="2"/>
      <c r="T463" s="2"/>
      <c r="U463" s="2"/>
      <c r="V463" s="2"/>
      <c r="W463" s="2"/>
      <c r="X463" s="2"/>
    </row>
    <row r="464" ht="15.75" customHeight="1">
      <c r="R464" s="2"/>
      <c r="S464" s="2"/>
      <c r="T464" s="2"/>
      <c r="U464" s="2"/>
      <c r="V464" s="2"/>
      <c r="W464" s="2"/>
      <c r="X464" s="2"/>
    </row>
    <row r="465" ht="15.75" customHeight="1">
      <c r="R465" s="2"/>
      <c r="S465" s="2"/>
      <c r="T465" s="2"/>
      <c r="U465" s="2"/>
      <c r="V465" s="2"/>
      <c r="W465" s="2"/>
      <c r="X465" s="2"/>
    </row>
    <row r="466" ht="15.75" customHeight="1">
      <c r="R466" s="2"/>
      <c r="S466" s="2"/>
      <c r="T466" s="2"/>
      <c r="U466" s="2"/>
      <c r="V466" s="2"/>
      <c r="W466" s="2"/>
      <c r="X466" s="2"/>
    </row>
    <row r="467" ht="15.75" customHeight="1">
      <c r="R467" s="2"/>
      <c r="S467" s="2"/>
      <c r="T467" s="2"/>
      <c r="U467" s="2"/>
      <c r="V467" s="2"/>
      <c r="W467" s="2"/>
      <c r="X467" s="2"/>
    </row>
    <row r="468" ht="15.75" customHeight="1">
      <c r="R468" s="2"/>
      <c r="S468" s="2"/>
      <c r="T468" s="2"/>
      <c r="U468" s="2"/>
      <c r="V468" s="2"/>
      <c r="W468" s="2"/>
      <c r="X468" s="2"/>
    </row>
    <row r="469" ht="15.75" customHeight="1">
      <c r="R469" s="2"/>
      <c r="S469" s="2"/>
      <c r="T469" s="2"/>
      <c r="U469" s="2"/>
      <c r="V469" s="2"/>
      <c r="W469" s="2"/>
      <c r="X469" s="2"/>
    </row>
    <row r="470" ht="15.75" customHeight="1">
      <c r="R470" s="2"/>
      <c r="S470" s="2"/>
      <c r="T470" s="2"/>
      <c r="U470" s="2"/>
      <c r="V470" s="2"/>
      <c r="W470" s="2"/>
      <c r="X470" s="2"/>
    </row>
    <row r="471" ht="15.75" customHeight="1">
      <c r="R471" s="2"/>
      <c r="S471" s="2"/>
      <c r="T471" s="2"/>
      <c r="U471" s="2"/>
      <c r="V471" s="2"/>
      <c r="W471" s="2"/>
      <c r="X471" s="2"/>
    </row>
    <row r="472" ht="15.75" customHeight="1">
      <c r="R472" s="2"/>
      <c r="S472" s="2"/>
      <c r="T472" s="2"/>
      <c r="U472" s="2"/>
      <c r="V472" s="2"/>
      <c r="W472" s="2"/>
      <c r="X472" s="2"/>
    </row>
    <row r="473" ht="15.75" customHeight="1">
      <c r="R473" s="2"/>
      <c r="S473" s="2"/>
      <c r="T473" s="2"/>
      <c r="U473" s="2"/>
      <c r="V473" s="2"/>
      <c r="W473" s="2"/>
      <c r="X473" s="2"/>
    </row>
    <row r="474" ht="15.75" customHeight="1">
      <c r="R474" s="2"/>
      <c r="S474" s="2"/>
      <c r="T474" s="2"/>
      <c r="U474" s="2"/>
      <c r="V474" s="2"/>
      <c r="W474" s="2"/>
      <c r="X474" s="2"/>
    </row>
    <row r="475" ht="15.75" customHeight="1">
      <c r="R475" s="2"/>
      <c r="S475" s="2"/>
      <c r="T475" s="2"/>
      <c r="U475" s="2"/>
      <c r="V475" s="2"/>
      <c r="W475" s="2"/>
      <c r="X475" s="2"/>
    </row>
    <row r="476" ht="15.75" customHeight="1">
      <c r="R476" s="2"/>
      <c r="S476" s="2"/>
      <c r="T476" s="2"/>
      <c r="U476" s="2"/>
      <c r="V476" s="2"/>
      <c r="W476" s="2"/>
      <c r="X476" s="2"/>
    </row>
    <row r="477" ht="15.75" customHeight="1">
      <c r="R477" s="2"/>
      <c r="S477" s="2"/>
      <c r="T477" s="2"/>
      <c r="U477" s="2"/>
      <c r="V477" s="2"/>
      <c r="W477" s="2"/>
      <c r="X477" s="2"/>
    </row>
    <row r="478" ht="15.75" customHeight="1">
      <c r="R478" s="2"/>
      <c r="S478" s="2"/>
      <c r="T478" s="2"/>
      <c r="U478" s="2"/>
      <c r="V478" s="2"/>
      <c r="W478" s="2"/>
      <c r="X478" s="2"/>
    </row>
    <row r="479" ht="15.75" customHeight="1">
      <c r="R479" s="2"/>
      <c r="S479" s="2"/>
      <c r="T479" s="2"/>
      <c r="U479" s="2"/>
      <c r="V479" s="2"/>
      <c r="W479" s="2"/>
      <c r="X479" s="2"/>
    </row>
    <row r="480" ht="15.75" customHeight="1">
      <c r="R480" s="2"/>
      <c r="S480" s="2"/>
      <c r="T480" s="2"/>
      <c r="U480" s="2"/>
      <c r="V480" s="2"/>
      <c r="W480" s="2"/>
      <c r="X480" s="2"/>
    </row>
    <row r="481" ht="15.75" customHeight="1">
      <c r="R481" s="2"/>
      <c r="S481" s="2"/>
      <c r="T481" s="2"/>
      <c r="U481" s="2"/>
      <c r="V481" s="2"/>
      <c r="W481" s="2"/>
      <c r="X481" s="2"/>
    </row>
    <row r="482" ht="15.75" customHeight="1">
      <c r="R482" s="2"/>
      <c r="S482" s="2"/>
      <c r="T482" s="2"/>
      <c r="U482" s="2"/>
      <c r="V482" s="2"/>
      <c r="W482" s="2"/>
      <c r="X482" s="2"/>
    </row>
    <row r="483" ht="15.75" customHeight="1">
      <c r="R483" s="2"/>
      <c r="S483" s="2"/>
      <c r="T483" s="2"/>
      <c r="U483" s="2"/>
      <c r="V483" s="2"/>
      <c r="W483" s="2"/>
      <c r="X483" s="2"/>
    </row>
    <row r="484" ht="15.75" customHeight="1">
      <c r="R484" s="2"/>
      <c r="S484" s="2"/>
      <c r="T484" s="2"/>
      <c r="U484" s="2"/>
      <c r="V484" s="2"/>
      <c r="W484" s="2"/>
      <c r="X484" s="2"/>
    </row>
    <row r="485" ht="15.75" customHeight="1">
      <c r="R485" s="2"/>
      <c r="S485" s="2"/>
      <c r="T485" s="2"/>
      <c r="U485" s="2"/>
      <c r="V485" s="2"/>
      <c r="W485" s="2"/>
      <c r="X485" s="2"/>
    </row>
    <row r="486" ht="15.75" customHeight="1">
      <c r="R486" s="2"/>
      <c r="S486" s="2"/>
      <c r="T486" s="2"/>
      <c r="U486" s="2"/>
      <c r="V486" s="2"/>
      <c r="W486" s="2"/>
      <c r="X486" s="2"/>
    </row>
    <row r="487" ht="15.75" customHeight="1">
      <c r="R487" s="2"/>
      <c r="S487" s="2"/>
      <c r="T487" s="2"/>
      <c r="U487" s="2"/>
      <c r="V487" s="2"/>
      <c r="W487" s="2"/>
      <c r="X487" s="2"/>
    </row>
    <row r="488" ht="15.75" customHeight="1">
      <c r="R488" s="2"/>
      <c r="S488" s="2"/>
      <c r="T488" s="2"/>
      <c r="U488" s="2"/>
      <c r="V488" s="2"/>
      <c r="W488" s="2"/>
      <c r="X488" s="2"/>
    </row>
    <row r="489" ht="15.75" customHeight="1">
      <c r="R489" s="2"/>
      <c r="S489" s="2"/>
      <c r="T489" s="2"/>
      <c r="U489" s="2"/>
      <c r="V489" s="2"/>
      <c r="W489" s="2"/>
      <c r="X489" s="2"/>
    </row>
    <row r="490" ht="15.75" customHeight="1">
      <c r="R490" s="2"/>
      <c r="S490" s="2"/>
      <c r="T490" s="2"/>
      <c r="U490" s="2"/>
      <c r="V490" s="2"/>
      <c r="W490" s="2"/>
      <c r="X490" s="2"/>
    </row>
    <row r="491" ht="15.75" customHeight="1">
      <c r="R491" s="2"/>
      <c r="S491" s="2"/>
      <c r="T491" s="2"/>
      <c r="U491" s="2"/>
      <c r="V491" s="2"/>
      <c r="W491" s="2"/>
      <c r="X491" s="2"/>
    </row>
    <row r="492" ht="15.75" customHeight="1">
      <c r="R492" s="2"/>
      <c r="S492" s="2"/>
      <c r="T492" s="2"/>
      <c r="U492" s="2"/>
      <c r="V492" s="2"/>
      <c r="W492" s="2"/>
      <c r="X492" s="2"/>
    </row>
    <row r="493" ht="15.75" customHeight="1">
      <c r="R493" s="2"/>
      <c r="S493" s="2"/>
      <c r="T493" s="2"/>
      <c r="U493" s="2"/>
      <c r="V493" s="2"/>
      <c r="W493" s="2"/>
      <c r="X493" s="2"/>
    </row>
    <row r="494" ht="15.75" customHeight="1">
      <c r="R494" s="2"/>
      <c r="S494" s="2"/>
      <c r="T494" s="2"/>
      <c r="U494" s="2"/>
      <c r="V494" s="2"/>
      <c r="W494" s="2"/>
      <c r="X494" s="2"/>
    </row>
    <row r="495" ht="15.75" customHeight="1">
      <c r="R495" s="2"/>
      <c r="S495" s="2"/>
      <c r="T495" s="2"/>
      <c r="U495" s="2"/>
      <c r="V495" s="2"/>
      <c r="W495" s="2"/>
      <c r="X495" s="2"/>
    </row>
    <row r="496" ht="15.75" customHeight="1">
      <c r="R496" s="2"/>
      <c r="S496" s="2"/>
      <c r="T496" s="2"/>
      <c r="U496" s="2"/>
      <c r="V496" s="2"/>
      <c r="W496" s="2"/>
      <c r="X496" s="2"/>
    </row>
    <row r="497" ht="15.75" customHeight="1">
      <c r="R497" s="2"/>
      <c r="S497" s="2"/>
      <c r="T497" s="2"/>
      <c r="U497" s="2"/>
      <c r="V497" s="2"/>
      <c r="W497" s="2"/>
      <c r="X497" s="2"/>
    </row>
    <row r="498" ht="15.75" customHeight="1">
      <c r="R498" s="2"/>
      <c r="S498" s="2"/>
      <c r="T498" s="2"/>
      <c r="U498" s="2"/>
      <c r="V498" s="2"/>
      <c r="W498" s="2"/>
      <c r="X498" s="2"/>
    </row>
    <row r="499" ht="15.75" customHeight="1">
      <c r="R499" s="2"/>
      <c r="S499" s="2"/>
      <c r="T499" s="2"/>
      <c r="U499" s="2"/>
      <c r="V499" s="2"/>
      <c r="W499" s="2"/>
      <c r="X499" s="2"/>
    </row>
    <row r="500" ht="15.75" customHeight="1">
      <c r="R500" s="2"/>
      <c r="S500" s="2"/>
      <c r="T500" s="2"/>
      <c r="U500" s="2"/>
      <c r="V500" s="2"/>
      <c r="W500" s="2"/>
      <c r="X500" s="2"/>
    </row>
    <row r="501" ht="15.75" customHeight="1">
      <c r="R501" s="2"/>
      <c r="S501" s="2"/>
      <c r="T501" s="2"/>
      <c r="U501" s="2"/>
      <c r="V501" s="2"/>
      <c r="W501" s="2"/>
      <c r="X501" s="2"/>
    </row>
    <row r="502" ht="15.75" customHeight="1">
      <c r="R502" s="2"/>
      <c r="S502" s="2"/>
      <c r="T502" s="2"/>
      <c r="U502" s="2"/>
      <c r="V502" s="2"/>
      <c r="W502" s="2"/>
      <c r="X502" s="2"/>
    </row>
    <row r="503" ht="15.75" customHeight="1">
      <c r="R503" s="2"/>
      <c r="S503" s="2"/>
      <c r="T503" s="2"/>
      <c r="U503" s="2"/>
      <c r="V503" s="2"/>
      <c r="W503" s="2"/>
      <c r="X503" s="2"/>
    </row>
    <row r="504" ht="15.75" customHeight="1">
      <c r="R504" s="2"/>
      <c r="S504" s="2"/>
      <c r="T504" s="2"/>
      <c r="U504" s="2"/>
      <c r="V504" s="2"/>
      <c r="W504" s="2"/>
      <c r="X504" s="2"/>
    </row>
    <row r="505" ht="15.75" customHeight="1">
      <c r="R505" s="2"/>
      <c r="S505" s="2"/>
      <c r="T505" s="2"/>
      <c r="U505" s="2"/>
      <c r="V505" s="2"/>
      <c r="W505" s="2"/>
      <c r="X505" s="2"/>
    </row>
    <row r="506" ht="15.75" customHeight="1">
      <c r="R506" s="2"/>
      <c r="S506" s="2"/>
      <c r="T506" s="2"/>
      <c r="U506" s="2"/>
      <c r="V506" s="2"/>
      <c r="W506" s="2"/>
      <c r="X506" s="2"/>
    </row>
    <row r="507" ht="15.75" customHeight="1">
      <c r="R507" s="2"/>
      <c r="S507" s="2"/>
      <c r="T507" s="2"/>
      <c r="U507" s="2"/>
      <c r="V507" s="2"/>
      <c r="W507" s="2"/>
      <c r="X507" s="2"/>
    </row>
    <row r="508" ht="15.75" customHeight="1">
      <c r="R508" s="2"/>
      <c r="S508" s="2"/>
      <c r="T508" s="2"/>
      <c r="U508" s="2"/>
      <c r="V508" s="2"/>
      <c r="W508" s="2"/>
      <c r="X508" s="2"/>
    </row>
    <row r="509" ht="15.75" customHeight="1">
      <c r="R509" s="2"/>
      <c r="S509" s="2"/>
      <c r="T509" s="2"/>
      <c r="U509" s="2"/>
      <c r="V509" s="2"/>
      <c r="W509" s="2"/>
      <c r="X509" s="2"/>
    </row>
    <row r="510" ht="15.75" customHeight="1">
      <c r="R510" s="2"/>
      <c r="S510" s="2"/>
      <c r="T510" s="2"/>
      <c r="U510" s="2"/>
      <c r="V510" s="2"/>
      <c r="W510" s="2"/>
      <c r="X510" s="2"/>
    </row>
    <row r="511" ht="15.75" customHeight="1">
      <c r="R511" s="2"/>
      <c r="S511" s="2"/>
      <c r="T511" s="2"/>
      <c r="U511" s="2"/>
      <c r="V511" s="2"/>
      <c r="W511" s="2"/>
      <c r="X511" s="2"/>
    </row>
    <row r="512" ht="15.75" customHeight="1">
      <c r="R512" s="2"/>
      <c r="S512" s="2"/>
      <c r="T512" s="2"/>
      <c r="U512" s="2"/>
      <c r="V512" s="2"/>
      <c r="W512" s="2"/>
      <c r="X512" s="2"/>
    </row>
    <row r="513" ht="15.75" customHeight="1">
      <c r="R513" s="2"/>
      <c r="S513" s="2"/>
      <c r="T513" s="2"/>
      <c r="U513" s="2"/>
      <c r="V513" s="2"/>
      <c r="W513" s="2"/>
      <c r="X513" s="2"/>
    </row>
    <row r="514" ht="15.75" customHeight="1">
      <c r="R514" s="2"/>
      <c r="S514" s="2"/>
      <c r="T514" s="2"/>
      <c r="U514" s="2"/>
      <c r="V514" s="2"/>
      <c r="W514" s="2"/>
      <c r="X514" s="2"/>
    </row>
    <row r="515" ht="15.75" customHeight="1">
      <c r="R515" s="2"/>
      <c r="S515" s="2"/>
      <c r="T515" s="2"/>
      <c r="U515" s="2"/>
      <c r="V515" s="2"/>
      <c r="W515" s="2"/>
      <c r="X515" s="2"/>
    </row>
    <row r="516" ht="15.75" customHeight="1">
      <c r="R516" s="2"/>
      <c r="S516" s="2"/>
      <c r="T516" s="2"/>
      <c r="U516" s="2"/>
      <c r="V516" s="2"/>
      <c r="W516" s="2"/>
      <c r="X516" s="2"/>
    </row>
    <row r="517" ht="15.75" customHeight="1">
      <c r="R517" s="2"/>
      <c r="S517" s="2"/>
      <c r="T517" s="2"/>
      <c r="U517" s="2"/>
      <c r="V517" s="2"/>
      <c r="W517" s="2"/>
      <c r="X517" s="2"/>
    </row>
    <row r="518" ht="15.75" customHeight="1">
      <c r="R518" s="2"/>
      <c r="S518" s="2"/>
      <c r="T518" s="2"/>
      <c r="U518" s="2"/>
      <c r="V518" s="2"/>
      <c r="W518" s="2"/>
      <c r="X518" s="2"/>
    </row>
    <row r="519" ht="15.75" customHeight="1">
      <c r="R519" s="2"/>
      <c r="S519" s="2"/>
      <c r="T519" s="2"/>
      <c r="U519" s="2"/>
      <c r="V519" s="2"/>
      <c r="W519" s="2"/>
      <c r="X519" s="2"/>
    </row>
    <row r="520" ht="15.75" customHeight="1">
      <c r="R520" s="2"/>
      <c r="S520" s="2"/>
      <c r="T520" s="2"/>
      <c r="U520" s="2"/>
      <c r="V520" s="2"/>
      <c r="W520" s="2"/>
      <c r="X520" s="2"/>
    </row>
    <row r="521" ht="15.75" customHeight="1">
      <c r="R521" s="2"/>
      <c r="S521" s="2"/>
      <c r="T521" s="2"/>
      <c r="U521" s="2"/>
      <c r="V521" s="2"/>
      <c r="W521" s="2"/>
      <c r="X521" s="2"/>
    </row>
    <row r="522" ht="15.75" customHeight="1">
      <c r="R522" s="2"/>
      <c r="S522" s="2"/>
      <c r="T522" s="2"/>
      <c r="U522" s="2"/>
      <c r="V522" s="2"/>
      <c r="W522" s="2"/>
      <c r="X522" s="2"/>
    </row>
    <row r="523" ht="15.75" customHeight="1">
      <c r="R523" s="2"/>
      <c r="S523" s="2"/>
      <c r="T523" s="2"/>
      <c r="U523" s="2"/>
      <c r="V523" s="2"/>
      <c r="W523" s="2"/>
      <c r="X523" s="2"/>
    </row>
    <row r="524" ht="15.75" customHeight="1">
      <c r="R524" s="2"/>
      <c r="S524" s="2"/>
      <c r="T524" s="2"/>
      <c r="U524" s="2"/>
      <c r="V524" s="2"/>
      <c r="W524" s="2"/>
      <c r="X524" s="2"/>
    </row>
    <row r="525" ht="15.75" customHeight="1">
      <c r="R525" s="2"/>
      <c r="S525" s="2"/>
      <c r="T525" s="2"/>
      <c r="U525" s="2"/>
      <c r="V525" s="2"/>
      <c r="W525" s="2"/>
      <c r="X525" s="2"/>
    </row>
    <row r="526" ht="15.75" customHeight="1">
      <c r="R526" s="2"/>
      <c r="S526" s="2"/>
      <c r="T526" s="2"/>
      <c r="U526" s="2"/>
      <c r="V526" s="2"/>
      <c r="W526" s="2"/>
      <c r="X526" s="2"/>
    </row>
    <row r="527" ht="15.75" customHeight="1">
      <c r="R527" s="2"/>
      <c r="S527" s="2"/>
      <c r="T527" s="2"/>
      <c r="U527" s="2"/>
      <c r="V527" s="2"/>
      <c r="W527" s="2"/>
      <c r="X527" s="2"/>
    </row>
    <row r="528" ht="15.75" customHeight="1">
      <c r="R528" s="2"/>
      <c r="S528" s="2"/>
      <c r="T528" s="2"/>
      <c r="U528" s="2"/>
      <c r="V528" s="2"/>
      <c r="W528" s="2"/>
      <c r="X528" s="2"/>
    </row>
    <row r="529" ht="15.75" customHeight="1">
      <c r="R529" s="2"/>
      <c r="S529" s="2"/>
      <c r="T529" s="2"/>
      <c r="U529" s="2"/>
      <c r="V529" s="2"/>
      <c r="W529" s="2"/>
      <c r="X529" s="2"/>
    </row>
    <row r="530" ht="15.75" customHeight="1">
      <c r="R530" s="2"/>
      <c r="S530" s="2"/>
      <c r="T530" s="2"/>
      <c r="U530" s="2"/>
      <c r="V530" s="2"/>
      <c r="W530" s="2"/>
      <c r="X530" s="2"/>
    </row>
    <row r="531" ht="15.75" customHeight="1">
      <c r="R531" s="2"/>
      <c r="S531" s="2"/>
      <c r="T531" s="2"/>
      <c r="U531" s="2"/>
      <c r="V531" s="2"/>
      <c r="W531" s="2"/>
      <c r="X531" s="2"/>
    </row>
    <row r="532" ht="15.75" customHeight="1">
      <c r="R532" s="2"/>
      <c r="S532" s="2"/>
      <c r="T532" s="2"/>
      <c r="U532" s="2"/>
      <c r="V532" s="2"/>
      <c r="W532" s="2"/>
      <c r="X532" s="2"/>
    </row>
    <row r="533" ht="15.75" customHeight="1">
      <c r="R533" s="2"/>
      <c r="S533" s="2"/>
      <c r="T533" s="2"/>
      <c r="U533" s="2"/>
      <c r="V533" s="2"/>
      <c r="W533" s="2"/>
      <c r="X533" s="2"/>
    </row>
    <row r="534" ht="15.75" customHeight="1">
      <c r="R534" s="2"/>
      <c r="S534" s="2"/>
      <c r="T534" s="2"/>
      <c r="U534" s="2"/>
      <c r="V534" s="2"/>
      <c r="W534" s="2"/>
      <c r="X534" s="2"/>
    </row>
    <row r="535" ht="15.75" customHeight="1">
      <c r="R535" s="2"/>
      <c r="S535" s="2"/>
      <c r="T535" s="2"/>
      <c r="U535" s="2"/>
      <c r="V535" s="2"/>
      <c r="W535" s="2"/>
      <c r="X535" s="2"/>
    </row>
    <row r="536" ht="15.75" customHeight="1">
      <c r="R536" s="2"/>
      <c r="S536" s="2"/>
      <c r="T536" s="2"/>
      <c r="U536" s="2"/>
      <c r="V536" s="2"/>
      <c r="W536" s="2"/>
      <c r="X536" s="2"/>
    </row>
    <row r="537" ht="15.75" customHeight="1">
      <c r="R537" s="2"/>
      <c r="S537" s="2"/>
      <c r="T537" s="2"/>
      <c r="U537" s="2"/>
      <c r="V537" s="2"/>
      <c r="W537" s="2"/>
      <c r="X537" s="2"/>
    </row>
    <row r="538" ht="15.75" customHeight="1">
      <c r="R538" s="2"/>
      <c r="S538" s="2"/>
      <c r="T538" s="2"/>
      <c r="U538" s="2"/>
      <c r="V538" s="2"/>
      <c r="W538" s="2"/>
      <c r="X538" s="2"/>
    </row>
    <row r="539" ht="15.75" customHeight="1">
      <c r="R539" s="2"/>
      <c r="S539" s="2"/>
      <c r="T539" s="2"/>
      <c r="U539" s="2"/>
      <c r="V539" s="2"/>
      <c r="W539" s="2"/>
      <c r="X539" s="2"/>
    </row>
    <row r="540" ht="15.75" customHeight="1">
      <c r="R540" s="2"/>
      <c r="S540" s="2"/>
      <c r="T540" s="2"/>
      <c r="U540" s="2"/>
      <c r="V540" s="2"/>
      <c r="W540" s="2"/>
      <c r="X540" s="2"/>
    </row>
    <row r="541" ht="15.75" customHeight="1">
      <c r="R541" s="2"/>
      <c r="S541" s="2"/>
      <c r="T541" s="2"/>
      <c r="U541" s="2"/>
      <c r="V541" s="2"/>
      <c r="W541" s="2"/>
      <c r="X541" s="2"/>
    </row>
    <row r="542" ht="15.75" customHeight="1">
      <c r="R542" s="2"/>
      <c r="S542" s="2"/>
      <c r="T542" s="2"/>
      <c r="U542" s="2"/>
      <c r="V542" s="2"/>
      <c r="W542" s="2"/>
      <c r="X542" s="2"/>
    </row>
    <row r="543" ht="15.75" customHeight="1">
      <c r="R543" s="2"/>
      <c r="S543" s="2"/>
      <c r="T543" s="2"/>
      <c r="U543" s="2"/>
      <c r="V543" s="2"/>
      <c r="W543" s="2"/>
      <c r="X543" s="2"/>
    </row>
    <row r="544" ht="15.75" customHeight="1">
      <c r="R544" s="2"/>
      <c r="S544" s="2"/>
      <c r="T544" s="2"/>
      <c r="U544" s="2"/>
      <c r="V544" s="2"/>
      <c r="W544" s="2"/>
      <c r="X544" s="2"/>
    </row>
    <row r="545" ht="15.75" customHeight="1">
      <c r="R545" s="2"/>
      <c r="S545" s="2"/>
      <c r="T545" s="2"/>
      <c r="U545" s="2"/>
      <c r="V545" s="2"/>
      <c r="W545" s="2"/>
      <c r="X545" s="2"/>
    </row>
    <row r="546" ht="15.75" customHeight="1">
      <c r="R546" s="2"/>
      <c r="S546" s="2"/>
      <c r="T546" s="2"/>
      <c r="U546" s="2"/>
      <c r="V546" s="2"/>
      <c r="W546" s="2"/>
      <c r="X546" s="2"/>
    </row>
    <row r="547" ht="15.75" customHeight="1">
      <c r="R547" s="2"/>
      <c r="S547" s="2"/>
      <c r="T547" s="2"/>
      <c r="U547" s="2"/>
      <c r="V547" s="2"/>
      <c r="W547" s="2"/>
      <c r="X547" s="2"/>
    </row>
    <row r="548" ht="15.75" customHeight="1">
      <c r="R548" s="2"/>
      <c r="S548" s="2"/>
      <c r="T548" s="2"/>
      <c r="U548" s="2"/>
      <c r="V548" s="2"/>
      <c r="W548" s="2"/>
      <c r="X548" s="2"/>
    </row>
    <row r="549" ht="15.75" customHeight="1">
      <c r="R549" s="2"/>
      <c r="S549" s="2"/>
      <c r="T549" s="2"/>
      <c r="U549" s="2"/>
      <c r="V549" s="2"/>
      <c r="W549" s="2"/>
      <c r="X549" s="2"/>
    </row>
    <row r="550" ht="15.75" customHeight="1">
      <c r="R550" s="2"/>
      <c r="S550" s="2"/>
      <c r="T550" s="2"/>
      <c r="U550" s="2"/>
      <c r="V550" s="2"/>
      <c r="W550" s="2"/>
      <c r="X550" s="2"/>
    </row>
    <row r="551" ht="15.75" customHeight="1">
      <c r="R551" s="2"/>
      <c r="S551" s="2"/>
      <c r="T551" s="2"/>
      <c r="U551" s="2"/>
      <c r="V551" s="2"/>
      <c r="W551" s="2"/>
      <c r="X551" s="2"/>
    </row>
    <row r="552" ht="15.75" customHeight="1">
      <c r="R552" s="2"/>
      <c r="S552" s="2"/>
      <c r="T552" s="2"/>
      <c r="U552" s="2"/>
      <c r="V552" s="2"/>
      <c r="W552" s="2"/>
      <c r="X552" s="2"/>
    </row>
    <row r="553" ht="15.75" customHeight="1">
      <c r="R553" s="2"/>
      <c r="S553" s="2"/>
      <c r="T553" s="2"/>
      <c r="U553" s="2"/>
      <c r="V553" s="2"/>
      <c r="W553" s="2"/>
      <c r="X553" s="2"/>
    </row>
    <row r="554" ht="15.75" customHeight="1">
      <c r="R554" s="2"/>
      <c r="S554" s="2"/>
      <c r="T554" s="2"/>
      <c r="U554" s="2"/>
      <c r="V554" s="2"/>
      <c r="W554" s="2"/>
      <c r="X554" s="2"/>
    </row>
    <row r="555" ht="15.75" customHeight="1">
      <c r="R555" s="2"/>
      <c r="S555" s="2"/>
      <c r="T555" s="2"/>
      <c r="U555" s="2"/>
      <c r="V555" s="2"/>
      <c r="W555" s="2"/>
      <c r="X555" s="2"/>
    </row>
    <row r="556" ht="15.75" customHeight="1">
      <c r="R556" s="2"/>
      <c r="S556" s="2"/>
      <c r="T556" s="2"/>
      <c r="U556" s="2"/>
      <c r="V556" s="2"/>
      <c r="W556" s="2"/>
      <c r="X556" s="2"/>
    </row>
    <row r="557" ht="15.75" customHeight="1">
      <c r="R557" s="2"/>
      <c r="S557" s="2"/>
      <c r="T557" s="2"/>
      <c r="U557" s="2"/>
      <c r="V557" s="2"/>
      <c r="W557" s="2"/>
      <c r="X557" s="2"/>
    </row>
    <row r="558" ht="15.75" customHeight="1">
      <c r="R558" s="2"/>
      <c r="S558" s="2"/>
      <c r="T558" s="2"/>
      <c r="U558" s="2"/>
      <c r="V558" s="2"/>
      <c r="W558" s="2"/>
      <c r="X558" s="2"/>
    </row>
    <row r="559" ht="15.75" customHeight="1">
      <c r="R559" s="2"/>
      <c r="S559" s="2"/>
      <c r="T559" s="2"/>
      <c r="U559" s="2"/>
      <c r="V559" s="2"/>
      <c r="W559" s="2"/>
      <c r="X559" s="2"/>
    </row>
    <row r="560" ht="15.75" customHeight="1">
      <c r="R560" s="2"/>
      <c r="S560" s="2"/>
      <c r="T560" s="2"/>
      <c r="U560" s="2"/>
      <c r="V560" s="2"/>
      <c r="W560" s="2"/>
      <c r="X560" s="2"/>
    </row>
    <row r="561" ht="15.75" customHeight="1">
      <c r="R561" s="2"/>
      <c r="S561" s="2"/>
      <c r="T561" s="2"/>
      <c r="U561" s="2"/>
      <c r="V561" s="2"/>
      <c r="W561" s="2"/>
      <c r="X561" s="2"/>
    </row>
    <row r="562" ht="15.75" customHeight="1">
      <c r="R562" s="2"/>
      <c r="S562" s="2"/>
      <c r="T562" s="2"/>
      <c r="U562" s="2"/>
      <c r="V562" s="2"/>
      <c r="W562" s="2"/>
      <c r="X562" s="2"/>
    </row>
    <row r="563" ht="15.75" customHeight="1">
      <c r="R563" s="2"/>
      <c r="S563" s="2"/>
      <c r="T563" s="2"/>
      <c r="U563" s="2"/>
      <c r="V563" s="2"/>
      <c r="W563" s="2"/>
      <c r="X563" s="2"/>
    </row>
    <row r="564" ht="15.75" customHeight="1">
      <c r="R564" s="2"/>
      <c r="S564" s="2"/>
      <c r="T564" s="2"/>
      <c r="U564" s="2"/>
      <c r="V564" s="2"/>
      <c r="W564" s="2"/>
      <c r="X564" s="2"/>
    </row>
    <row r="565" ht="15.75" customHeight="1">
      <c r="R565" s="2"/>
      <c r="S565" s="2"/>
      <c r="T565" s="2"/>
      <c r="U565" s="2"/>
      <c r="V565" s="2"/>
      <c r="W565" s="2"/>
      <c r="X565" s="2"/>
    </row>
    <row r="566" ht="15.75" customHeight="1">
      <c r="R566" s="2"/>
      <c r="S566" s="2"/>
      <c r="T566" s="2"/>
      <c r="U566" s="2"/>
      <c r="V566" s="2"/>
      <c r="W566" s="2"/>
      <c r="X566" s="2"/>
    </row>
    <row r="567" ht="15.75" customHeight="1">
      <c r="R567" s="2"/>
      <c r="S567" s="2"/>
      <c r="T567" s="2"/>
      <c r="U567" s="2"/>
      <c r="V567" s="2"/>
      <c r="W567" s="2"/>
      <c r="X567" s="2"/>
    </row>
    <row r="568" ht="15.75" customHeight="1">
      <c r="R568" s="2"/>
      <c r="S568" s="2"/>
      <c r="T568" s="2"/>
      <c r="U568" s="2"/>
      <c r="V568" s="2"/>
      <c r="W568" s="2"/>
      <c r="X568" s="2"/>
    </row>
    <row r="569" ht="15.75" customHeight="1">
      <c r="R569" s="2"/>
      <c r="S569" s="2"/>
      <c r="T569" s="2"/>
      <c r="U569" s="2"/>
      <c r="V569" s="2"/>
      <c r="W569" s="2"/>
      <c r="X569" s="2"/>
    </row>
    <row r="570" ht="15.75" customHeight="1">
      <c r="R570" s="2"/>
      <c r="S570" s="2"/>
      <c r="T570" s="2"/>
      <c r="U570" s="2"/>
      <c r="V570" s="2"/>
      <c r="W570" s="2"/>
      <c r="X570" s="2"/>
    </row>
    <row r="571" ht="15.75" customHeight="1">
      <c r="R571" s="2"/>
      <c r="S571" s="2"/>
      <c r="T571" s="2"/>
      <c r="U571" s="2"/>
      <c r="V571" s="2"/>
      <c r="W571" s="2"/>
      <c r="X571" s="2"/>
    </row>
    <row r="572" ht="15.75" customHeight="1">
      <c r="R572" s="2"/>
      <c r="S572" s="2"/>
      <c r="T572" s="2"/>
      <c r="U572" s="2"/>
      <c r="V572" s="2"/>
      <c r="W572" s="2"/>
      <c r="X572" s="2"/>
    </row>
    <row r="573" ht="15.75" customHeight="1">
      <c r="R573" s="2"/>
      <c r="S573" s="2"/>
      <c r="T573" s="2"/>
      <c r="U573" s="2"/>
      <c r="V573" s="2"/>
      <c r="W573" s="2"/>
      <c r="X573" s="2"/>
    </row>
    <row r="574" ht="15.75" customHeight="1">
      <c r="R574" s="2"/>
      <c r="S574" s="2"/>
      <c r="T574" s="2"/>
      <c r="U574" s="2"/>
      <c r="V574" s="2"/>
      <c r="W574" s="2"/>
      <c r="X574" s="2"/>
    </row>
    <row r="575" ht="15.75" customHeight="1">
      <c r="R575" s="2"/>
      <c r="S575" s="2"/>
      <c r="T575" s="2"/>
      <c r="U575" s="2"/>
      <c r="V575" s="2"/>
      <c r="W575" s="2"/>
      <c r="X575" s="2"/>
    </row>
    <row r="576" ht="15.75" customHeight="1">
      <c r="R576" s="2"/>
      <c r="S576" s="2"/>
      <c r="T576" s="2"/>
      <c r="U576" s="2"/>
      <c r="V576" s="2"/>
      <c r="W576" s="2"/>
      <c r="X576" s="2"/>
    </row>
    <row r="577" ht="15.75" customHeight="1">
      <c r="R577" s="2"/>
      <c r="S577" s="2"/>
      <c r="T577" s="2"/>
      <c r="U577" s="2"/>
      <c r="V577" s="2"/>
      <c r="W577" s="2"/>
      <c r="X577" s="2"/>
    </row>
    <row r="578" ht="15.75" customHeight="1">
      <c r="R578" s="2"/>
      <c r="S578" s="2"/>
      <c r="T578" s="2"/>
      <c r="U578" s="2"/>
      <c r="V578" s="2"/>
      <c r="W578" s="2"/>
      <c r="X578" s="2"/>
    </row>
    <row r="579" ht="15.75" customHeight="1">
      <c r="R579" s="2"/>
      <c r="S579" s="2"/>
      <c r="T579" s="2"/>
      <c r="U579" s="2"/>
      <c r="V579" s="2"/>
      <c r="W579" s="2"/>
      <c r="X579" s="2"/>
    </row>
    <row r="580" ht="15.75" customHeight="1">
      <c r="R580" s="2"/>
      <c r="S580" s="2"/>
      <c r="T580" s="2"/>
      <c r="U580" s="2"/>
      <c r="V580" s="2"/>
      <c r="W580" s="2"/>
      <c r="X580" s="2"/>
    </row>
    <row r="581" ht="15.75" customHeight="1">
      <c r="R581" s="2"/>
      <c r="S581" s="2"/>
      <c r="T581" s="2"/>
      <c r="U581" s="2"/>
      <c r="V581" s="2"/>
      <c r="W581" s="2"/>
      <c r="X581" s="2"/>
    </row>
    <row r="582" ht="15.75" customHeight="1">
      <c r="R582" s="2"/>
      <c r="S582" s="2"/>
      <c r="T582" s="2"/>
      <c r="U582" s="2"/>
      <c r="V582" s="2"/>
      <c r="W582" s="2"/>
      <c r="X582" s="2"/>
    </row>
    <row r="583" ht="15.75" customHeight="1">
      <c r="R583" s="2"/>
      <c r="S583" s="2"/>
      <c r="T583" s="2"/>
      <c r="U583" s="2"/>
      <c r="V583" s="2"/>
      <c r="W583" s="2"/>
      <c r="X583" s="2"/>
    </row>
    <row r="584" ht="15.75" customHeight="1">
      <c r="R584" s="2"/>
      <c r="S584" s="2"/>
      <c r="T584" s="2"/>
      <c r="U584" s="2"/>
      <c r="V584" s="2"/>
      <c r="W584" s="2"/>
      <c r="X584" s="2"/>
    </row>
    <row r="585" ht="15.75" customHeight="1">
      <c r="R585" s="2"/>
      <c r="S585" s="2"/>
      <c r="T585" s="2"/>
      <c r="U585" s="2"/>
      <c r="V585" s="2"/>
      <c r="W585" s="2"/>
      <c r="X585" s="2"/>
    </row>
    <row r="586" ht="15.75" customHeight="1">
      <c r="R586" s="2"/>
      <c r="S586" s="2"/>
      <c r="T586" s="2"/>
      <c r="U586" s="2"/>
      <c r="V586" s="2"/>
      <c r="W586" s="2"/>
      <c r="X586" s="2"/>
    </row>
    <row r="587" ht="15.75" customHeight="1">
      <c r="R587" s="2"/>
      <c r="S587" s="2"/>
      <c r="T587" s="2"/>
      <c r="U587" s="2"/>
      <c r="V587" s="2"/>
      <c r="W587" s="2"/>
      <c r="X587" s="2"/>
    </row>
    <row r="588" ht="15.75" customHeight="1">
      <c r="R588" s="2"/>
      <c r="S588" s="2"/>
      <c r="T588" s="2"/>
      <c r="U588" s="2"/>
      <c r="V588" s="2"/>
      <c r="W588" s="2"/>
      <c r="X588" s="2"/>
    </row>
    <row r="589" ht="15.75" customHeight="1">
      <c r="R589" s="2"/>
      <c r="S589" s="2"/>
      <c r="T589" s="2"/>
      <c r="U589" s="2"/>
      <c r="V589" s="2"/>
      <c r="W589" s="2"/>
      <c r="X589" s="2"/>
    </row>
    <row r="590" ht="15.75" customHeight="1">
      <c r="R590" s="2"/>
      <c r="S590" s="2"/>
      <c r="T590" s="2"/>
      <c r="U590" s="2"/>
      <c r="V590" s="2"/>
      <c r="W590" s="2"/>
      <c r="X590" s="2"/>
    </row>
    <row r="591" ht="15.75" customHeight="1">
      <c r="R591" s="2"/>
      <c r="S591" s="2"/>
      <c r="T591" s="2"/>
      <c r="U591" s="2"/>
      <c r="V591" s="2"/>
      <c r="W591" s="2"/>
      <c r="X591" s="2"/>
    </row>
    <row r="592" ht="15.75" customHeight="1">
      <c r="R592" s="2"/>
      <c r="S592" s="2"/>
      <c r="T592" s="2"/>
      <c r="U592" s="2"/>
      <c r="V592" s="2"/>
      <c r="W592" s="2"/>
      <c r="X592" s="2"/>
    </row>
    <row r="593" ht="15.75" customHeight="1">
      <c r="R593" s="2"/>
      <c r="S593" s="2"/>
      <c r="T593" s="2"/>
      <c r="U593" s="2"/>
      <c r="V593" s="2"/>
      <c r="W593" s="2"/>
      <c r="X593" s="2"/>
    </row>
    <row r="594" ht="15.75" customHeight="1">
      <c r="R594" s="2"/>
      <c r="S594" s="2"/>
      <c r="T594" s="2"/>
      <c r="U594" s="2"/>
      <c r="V594" s="2"/>
      <c r="W594" s="2"/>
      <c r="X594" s="2"/>
    </row>
    <row r="595" ht="15.75" customHeight="1">
      <c r="R595" s="2"/>
      <c r="S595" s="2"/>
      <c r="T595" s="2"/>
      <c r="U595" s="2"/>
      <c r="V595" s="2"/>
      <c r="W595" s="2"/>
      <c r="X595" s="2"/>
    </row>
    <row r="596" ht="15.75" customHeight="1">
      <c r="R596" s="2"/>
      <c r="S596" s="2"/>
      <c r="T596" s="2"/>
      <c r="U596" s="2"/>
      <c r="V596" s="2"/>
      <c r="W596" s="2"/>
      <c r="X596" s="2"/>
    </row>
    <row r="597" ht="15.75" customHeight="1">
      <c r="R597" s="2"/>
      <c r="S597" s="2"/>
      <c r="T597" s="2"/>
      <c r="U597" s="2"/>
      <c r="V597" s="2"/>
      <c r="W597" s="2"/>
      <c r="X597" s="2"/>
    </row>
    <row r="598" ht="15.75" customHeight="1">
      <c r="R598" s="2"/>
      <c r="S598" s="2"/>
      <c r="T598" s="2"/>
      <c r="U598" s="2"/>
      <c r="V598" s="2"/>
      <c r="W598" s="2"/>
      <c r="X598" s="2"/>
    </row>
    <row r="599" ht="15.75" customHeight="1">
      <c r="R599" s="2"/>
      <c r="S599" s="2"/>
      <c r="T599" s="2"/>
      <c r="U599" s="2"/>
      <c r="V599" s="2"/>
      <c r="W599" s="2"/>
      <c r="X599" s="2"/>
    </row>
    <row r="600" ht="15.75" customHeight="1">
      <c r="R600" s="2"/>
      <c r="S600" s="2"/>
      <c r="T600" s="2"/>
      <c r="U600" s="2"/>
      <c r="V600" s="2"/>
      <c r="W600" s="2"/>
      <c r="X600" s="2"/>
    </row>
    <row r="601" ht="15.75" customHeight="1">
      <c r="R601" s="2"/>
      <c r="S601" s="2"/>
      <c r="T601" s="2"/>
      <c r="U601" s="2"/>
      <c r="V601" s="2"/>
      <c r="W601" s="2"/>
      <c r="X601" s="2"/>
    </row>
    <row r="602" ht="15.75" customHeight="1">
      <c r="R602" s="2"/>
      <c r="S602" s="2"/>
      <c r="T602" s="2"/>
      <c r="U602" s="2"/>
      <c r="V602" s="2"/>
      <c r="W602" s="2"/>
      <c r="X602" s="2"/>
    </row>
    <row r="603" ht="15.75" customHeight="1">
      <c r="R603" s="2"/>
      <c r="S603" s="2"/>
      <c r="T603" s="2"/>
      <c r="U603" s="2"/>
      <c r="V603" s="2"/>
      <c r="W603" s="2"/>
      <c r="X603" s="2"/>
    </row>
    <row r="604" ht="15.75" customHeight="1">
      <c r="R604" s="2"/>
      <c r="S604" s="2"/>
      <c r="T604" s="2"/>
      <c r="U604" s="2"/>
      <c r="V604" s="2"/>
      <c r="W604" s="2"/>
      <c r="X604" s="2"/>
    </row>
    <row r="605" ht="15.75" customHeight="1">
      <c r="R605" s="2"/>
      <c r="S605" s="2"/>
      <c r="T605" s="2"/>
      <c r="U605" s="2"/>
      <c r="V605" s="2"/>
      <c r="W605" s="2"/>
      <c r="X605" s="2"/>
    </row>
    <row r="606" ht="15.75" customHeight="1">
      <c r="R606" s="2"/>
      <c r="S606" s="2"/>
      <c r="T606" s="2"/>
      <c r="U606" s="2"/>
      <c r="V606" s="2"/>
      <c r="W606" s="2"/>
      <c r="X606" s="2"/>
    </row>
    <row r="607" ht="15.75" customHeight="1">
      <c r="R607" s="2"/>
      <c r="S607" s="2"/>
      <c r="T607" s="2"/>
      <c r="U607" s="2"/>
      <c r="V607" s="2"/>
      <c r="W607" s="2"/>
      <c r="X607" s="2"/>
    </row>
    <row r="608" ht="15.75" customHeight="1">
      <c r="R608" s="2"/>
      <c r="S608" s="2"/>
      <c r="T608" s="2"/>
      <c r="U608" s="2"/>
      <c r="V608" s="2"/>
      <c r="W608" s="2"/>
      <c r="X608" s="2"/>
    </row>
    <row r="609" ht="15.75" customHeight="1">
      <c r="R609" s="2"/>
      <c r="S609" s="2"/>
      <c r="T609" s="2"/>
      <c r="U609" s="2"/>
      <c r="V609" s="2"/>
      <c r="W609" s="2"/>
      <c r="X609" s="2"/>
    </row>
    <row r="610" ht="15.75" customHeight="1">
      <c r="R610" s="2"/>
      <c r="S610" s="2"/>
      <c r="T610" s="2"/>
      <c r="U610" s="2"/>
      <c r="V610" s="2"/>
      <c r="W610" s="2"/>
      <c r="X610" s="2"/>
    </row>
    <row r="611" ht="15.75" customHeight="1">
      <c r="R611" s="2"/>
      <c r="S611" s="2"/>
      <c r="T611" s="2"/>
      <c r="U611" s="2"/>
      <c r="V611" s="2"/>
      <c r="W611" s="2"/>
      <c r="X611" s="2"/>
    </row>
    <row r="612" ht="15.75" customHeight="1">
      <c r="R612" s="2"/>
      <c r="S612" s="2"/>
      <c r="T612" s="2"/>
      <c r="U612" s="2"/>
      <c r="V612" s="2"/>
      <c r="W612" s="2"/>
      <c r="X612" s="2"/>
    </row>
    <row r="613" ht="15.75" customHeight="1">
      <c r="R613" s="2"/>
      <c r="S613" s="2"/>
      <c r="T613" s="2"/>
      <c r="U613" s="2"/>
      <c r="V613" s="2"/>
      <c r="W613" s="2"/>
      <c r="X613" s="2"/>
    </row>
    <row r="614" ht="15.75" customHeight="1">
      <c r="R614" s="2"/>
      <c r="S614" s="2"/>
      <c r="T614" s="2"/>
      <c r="U614" s="2"/>
      <c r="V614" s="2"/>
      <c r="W614" s="2"/>
      <c r="X614" s="2"/>
    </row>
    <row r="615" ht="15.75" customHeight="1">
      <c r="R615" s="2"/>
      <c r="S615" s="2"/>
      <c r="T615" s="2"/>
      <c r="U615" s="2"/>
      <c r="V615" s="2"/>
      <c r="W615" s="2"/>
      <c r="X615" s="2"/>
    </row>
    <row r="616" ht="15.75" customHeight="1">
      <c r="R616" s="2"/>
      <c r="S616" s="2"/>
      <c r="T616" s="2"/>
      <c r="U616" s="2"/>
      <c r="V616" s="2"/>
      <c r="W616" s="2"/>
      <c r="X616" s="2"/>
    </row>
    <row r="617" ht="15.75" customHeight="1">
      <c r="R617" s="2"/>
      <c r="S617" s="2"/>
      <c r="T617" s="2"/>
      <c r="U617" s="2"/>
      <c r="V617" s="2"/>
      <c r="W617" s="2"/>
      <c r="X617" s="2"/>
    </row>
    <row r="618" ht="15.75" customHeight="1">
      <c r="R618" s="2"/>
      <c r="S618" s="2"/>
      <c r="T618" s="2"/>
      <c r="U618" s="2"/>
      <c r="V618" s="2"/>
      <c r="W618" s="2"/>
      <c r="X618" s="2"/>
    </row>
    <row r="619" ht="15.75" customHeight="1">
      <c r="R619" s="2"/>
      <c r="S619" s="2"/>
      <c r="T619" s="2"/>
      <c r="U619" s="2"/>
      <c r="V619" s="2"/>
      <c r="W619" s="2"/>
      <c r="X619" s="2"/>
    </row>
    <row r="620" ht="15.75" customHeight="1">
      <c r="R620" s="2"/>
      <c r="S620" s="2"/>
      <c r="T620" s="2"/>
      <c r="U620" s="2"/>
      <c r="V620" s="2"/>
      <c r="W620" s="2"/>
      <c r="X620" s="2"/>
    </row>
    <row r="621" ht="15.75" customHeight="1">
      <c r="R621" s="2"/>
      <c r="S621" s="2"/>
      <c r="T621" s="2"/>
      <c r="U621" s="2"/>
      <c r="V621" s="2"/>
      <c r="W621" s="2"/>
      <c r="X621" s="2"/>
    </row>
    <row r="622" ht="15.75" customHeight="1">
      <c r="R622" s="2"/>
      <c r="S622" s="2"/>
      <c r="T622" s="2"/>
      <c r="U622" s="2"/>
      <c r="V622" s="2"/>
      <c r="W622" s="2"/>
      <c r="X622" s="2"/>
    </row>
    <row r="623" ht="15.75" customHeight="1">
      <c r="R623" s="2"/>
      <c r="S623" s="2"/>
      <c r="T623" s="2"/>
      <c r="U623" s="2"/>
      <c r="V623" s="2"/>
      <c r="W623" s="2"/>
      <c r="X623" s="2"/>
    </row>
    <row r="624" ht="15.75" customHeight="1">
      <c r="R624" s="2"/>
      <c r="S624" s="2"/>
      <c r="T624" s="2"/>
      <c r="U624" s="2"/>
      <c r="V624" s="2"/>
      <c r="W624" s="2"/>
      <c r="X624" s="2"/>
    </row>
    <row r="625" ht="15.75" customHeight="1">
      <c r="R625" s="2"/>
      <c r="S625" s="2"/>
      <c r="T625" s="2"/>
      <c r="U625" s="2"/>
      <c r="V625" s="2"/>
      <c r="W625" s="2"/>
      <c r="X625" s="2"/>
    </row>
    <row r="626" ht="15.75" customHeight="1">
      <c r="R626" s="2"/>
      <c r="S626" s="2"/>
      <c r="T626" s="2"/>
      <c r="U626" s="2"/>
      <c r="V626" s="2"/>
      <c r="W626" s="2"/>
      <c r="X626" s="2"/>
    </row>
    <row r="627" ht="15.75" customHeight="1">
      <c r="R627" s="2"/>
      <c r="S627" s="2"/>
      <c r="T627" s="2"/>
      <c r="U627" s="2"/>
      <c r="V627" s="2"/>
      <c r="W627" s="2"/>
      <c r="X627" s="2"/>
    </row>
    <row r="628" ht="15.75" customHeight="1">
      <c r="R628" s="2"/>
      <c r="S628" s="2"/>
      <c r="T628" s="2"/>
      <c r="U628" s="2"/>
      <c r="V628" s="2"/>
      <c r="W628" s="2"/>
      <c r="X628" s="2"/>
    </row>
    <row r="629" ht="15.75" customHeight="1">
      <c r="R629" s="2"/>
      <c r="S629" s="2"/>
      <c r="T629" s="2"/>
      <c r="U629" s="2"/>
      <c r="V629" s="2"/>
      <c r="W629" s="2"/>
      <c r="X629" s="2"/>
    </row>
    <row r="630" ht="15.75" customHeight="1">
      <c r="R630" s="2"/>
      <c r="S630" s="2"/>
      <c r="T630" s="2"/>
      <c r="U630" s="2"/>
      <c r="V630" s="2"/>
      <c r="W630" s="2"/>
      <c r="X630" s="2"/>
    </row>
    <row r="631" ht="15.75" customHeight="1">
      <c r="R631" s="2"/>
      <c r="S631" s="2"/>
      <c r="T631" s="2"/>
      <c r="U631" s="2"/>
      <c r="V631" s="2"/>
      <c r="W631" s="2"/>
      <c r="X631" s="2"/>
    </row>
    <row r="632" ht="15.75" customHeight="1">
      <c r="R632" s="2"/>
      <c r="S632" s="2"/>
      <c r="T632" s="2"/>
      <c r="U632" s="2"/>
      <c r="V632" s="2"/>
      <c r="W632" s="2"/>
      <c r="X632" s="2"/>
    </row>
    <row r="633" ht="15.75" customHeight="1">
      <c r="R633" s="2"/>
      <c r="S633" s="2"/>
      <c r="T633" s="2"/>
      <c r="U633" s="2"/>
      <c r="V633" s="2"/>
      <c r="W633" s="2"/>
      <c r="X633" s="2"/>
    </row>
    <row r="634" ht="15.75" customHeight="1">
      <c r="R634" s="2"/>
      <c r="S634" s="2"/>
      <c r="T634" s="2"/>
      <c r="U634" s="2"/>
      <c r="V634" s="2"/>
      <c r="W634" s="2"/>
      <c r="X634" s="2"/>
    </row>
    <row r="635" ht="15.75" customHeight="1">
      <c r="R635" s="2"/>
      <c r="S635" s="2"/>
      <c r="T635" s="2"/>
      <c r="U635" s="2"/>
      <c r="V635" s="2"/>
      <c r="W635" s="2"/>
      <c r="X635" s="2"/>
    </row>
    <row r="636" ht="15.75" customHeight="1">
      <c r="R636" s="2"/>
      <c r="S636" s="2"/>
      <c r="T636" s="2"/>
      <c r="U636" s="2"/>
      <c r="V636" s="2"/>
      <c r="W636" s="2"/>
      <c r="X636" s="2"/>
    </row>
    <row r="637" ht="15.75" customHeight="1">
      <c r="R637" s="2"/>
      <c r="S637" s="2"/>
      <c r="T637" s="2"/>
      <c r="U637" s="2"/>
      <c r="V637" s="2"/>
      <c r="W637" s="2"/>
      <c r="X637" s="2"/>
    </row>
    <row r="638" ht="15.75" customHeight="1">
      <c r="R638" s="2"/>
      <c r="S638" s="2"/>
      <c r="T638" s="2"/>
      <c r="U638" s="2"/>
      <c r="V638" s="2"/>
      <c r="W638" s="2"/>
      <c r="X638" s="2"/>
    </row>
    <row r="639" ht="15.75" customHeight="1">
      <c r="R639" s="2"/>
      <c r="S639" s="2"/>
      <c r="T639" s="2"/>
      <c r="U639" s="2"/>
      <c r="V639" s="2"/>
      <c r="W639" s="2"/>
      <c r="X639" s="2"/>
    </row>
    <row r="640" ht="15.75" customHeight="1">
      <c r="R640" s="2"/>
      <c r="S640" s="2"/>
      <c r="T640" s="2"/>
      <c r="U640" s="2"/>
      <c r="V640" s="2"/>
      <c r="W640" s="2"/>
      <c r="X640" s="2"/>
    </row>
    <row r="641" ht="15.75" customHeight="1">
      <c r="R641" s="2"/>
      <c r="S641" s="2"/>
      <c r="T641" s="2"/>
      <c r="U641" s="2"/>
      <c r="V641" s="2"/>
      <c r="W641" s="2"/>
      <c r="X641" s="2"/>
    </row>
    <row r="642" ht="15.75" customHeight="1">
      <c r="R642" s="2"/>
      <c r="S642" s="2"/>
      <c r="T642" s="2"/>
      <c r="U642" s="2"/>
      <c r="V642" s="2"/>
      <c r="W642" s="2"/>
      <c r="X642" s="2"/>
    </row>
    <row r="643" ht="15.75" customHeight="1">
      <c r="R643" s="2"/>
      <c r="S643" s="2"/>
      <c r="T643" s="2"/>
      <c r="U643" s="2"/>
      <c r="V643" s="2"/>
      <c r="W643" s="2"/>
      <c r="X643" s="2"/>
    </row>
    <row r="644" ht="15.75" customHeight="1">
      <c r="R644" s="2"/>
      <c r="S644" s="2"/>
      <c r="T644" s="2"/>
      <c r="U644" s="2"/>
      <c r="V644" s="2"/>
      <c r="W644" s="2"/>
      <c r="X644" s="2"/>
    </row>
    <row r="645" ht="15.75" customHeight="1">
      <c r="R645" s="2"/>
      <c r="S645" s="2"/>
      <c r="T645" s="2"/>
      <c r="U645" s="2"/>
      <c r="V645" s="2"/>
      <c r="W645" s="2"/>
      <c r="X645" s="2"/>
    </row>
    <row r="646" ht="15.75" customHeight="1">
      <c r="R646" s="2"/>
      <c r="S646" s="2"/>
      <c r="T646" s="2"/>
      <c r="U646" s="2"/>
      <c r="V646" s="2"/>
      <c r="W646" s="2"/>
      <c r="X646" s="2"/>
    </row>
    <row r="647" ht="15.75" customHeight="1">
      <c r="R647" s="2"/>
      <c r="S647" s="2"/>
      <c r="T647" s="2"/>
      <c r="U647" s="2"/>
      <c r="V647" s="2"/>
      <c r="W647" s="2"/>
      <c r="X647" s="2"/>
    </row>
    <row r="648" ht="15.75" customHeight="1">
      <c r="R648" s="2"/>
      <c r="S648" s="2"/>
      <c r="T648" s="2"/>
      <c r="U648" s="2"/>
      <c r="V648" s="2"/>
      <c r="W648" s="2"/>
      <c r="X648" s="2"/>
    </row>
    <row r="649" ht="15.75" customHeight="1">
      <c r="R649" s="2"/>
      <c r="S649" s="2"/>
      <c r="T649" s="2"/>
      <c r="U649" s="2"/>
      <c r="V649" s="2"/>
      <c r="W649" s="2"/>
      <c r="X649" s="2"/>
    </row>
    <row r="650" ht="15.75" customHeight="1">
      <c r="R650" s="2"/>
      <c r="S650" s="2"/>
      <c r="T650" s="2"/>
      <c r="U650" s="2"/>
      <c r="V650" s="2"/>
      <c r="W650" s="2"/>
      <c r="X650" s="2"/>
    </row>
    <row r="651" ht="15.75" customHeight="1">
      <c r="R651" s="2"/>
      <c r="S651" s="2"/>
      <c r="T651" s="2"/>
      <c r="U651" s="2"/>
      <c r="V651" s="2"/>
      <c r="W651" s="2"/>
      <c r="X651" s="2"/>
    </row>
    <row r="652" ht="15.75" customHeight="1">
      <c r="R652" s="2"/>
      <c r="S652" s="2"/>
      <c r="T652" s="2"/>
      <c r="U652" s="2"/>
      <c r="V652" s="2"/>
      <c r="W652" s="2"/>
      <c r="X652" s="2"/>
    </row>
    <row r="653" ht="15.75" customHeight="1">
      <c r="R653" s="2"/>
      <c r="S653" s="2"/>
      <c r="T653" s="2"/>
      <c r="U653" s="2"/>
      <c r="V653" s="2"/>
      <c r="W653" s="2"/>
      <c r="X653" s="2"/>
    </row>
    <row r="654" ht="15.75" customHeight="1">
      <c r="R654" s="2"/>
      <c r="S654" s="2"/>
      <c r="T654" s="2"/>
      <c r="U654" s="2"/>
      <c r="V654" s="2"/>
      <c r="W654" s="2"/>
      <c r="X654" s="2"/>
    </row>
    <row r="655" ht="15.75" customHeight="1">
      <c r="R655" s="2"/>
      <c r="S655" s="2"/>
      <c r="T655" s="2"/>
      <c r="U655" s="2"/>
      <c r="V655" s="2"/>
      <c r="W655" s="2"/>
      <c r="X655" s="2"/>
    </row>
    <row r="656" ht="15.75" customHeight="1">
      <c r="R656" s="2"/>
      <c r="S656" s="2"/>
      <c r="T656" s="2"/>
      <c r="U656" s="2"/>
      <c r="V656" s="2"/>
      <c r="W656" s="2"/>
      <c r="X656" s="2"/>
    </row>
    <row r="657" ht="15.75" customHeight="1">
      <c r="R657" s="2"/>
      <c r="S657" s="2"/>
      <c r="T657" s="2"/>
      <c r="U657" s="2"/>
      <c r="V657" s="2"/>
      <c r="W657" s="2"/>
      <c r="X657" s="2"/>
    </row>
    <row r="658" ht="15.75" customHeight="1">
      <c r="R658" s="2"/>
      <c r="S658" s="2"/>
      <c r="T658" s="2"/>
      <c r="U658" s="2"/>
      <c r="V658" s="2"/>
      <c r="W658" s="2"/>
      <c r="X658" s="2"/>
    </row>
    <row r="659" ht="15.75" customHeight="1">
      <c r="R659" s="2"/>
      <c r="S659" s="2"/>
      <c r="T659" s="2"/>
      <c r="U659" s="2"/>
      <c r="V659" s="2"/>
      <c r="W659" s="2"/>
      <c r="X659" s="2"/>
    </row>
    <row r="660" ht="15.75" customHeight="1">
      <c r="R660" s="2"/>
      <c r="S660" s="2"/>
      <c r="T660" s="2"/>
      <c r="U660" s="2"/>
      <c r="V660" s="2"/>
      <c r="W660" s="2"/>
      <c r="X660" s="2"/>
    </row>
    <row r="661" ht="15.75" customHeight="1">
      <c r="R661" s="2"/>
      <c r="S661" s="2"/>
      <c r="T661" s="2"/>
      <c r="U661" s="2"/>
      <c r="V661" s="2"/>
      <c r="W661" s="2"/>
      <c r="X661" s="2"/>
    </row>
    <row r="662" ht="15.75" customHeight="1">
      <c r="R662" s="2"/>
      <c r="S662" s="2"/>
      <c r="T662" s="2"/>
      <c r="U662" s="2"/>
      <c r="V662" s="2"/>
      <c r="W662" s="2"/>
      <c r="X662" s="2"/>
    </row>
    <row r="663" ht="15.75" customHeight="1">
      <c r="R663" s="2"/>
      <c r="S663" s="2"/>
      <c r="T663" s="2"/>
      <c r="U663" s="2"/>
      <c r="V663" s="2"/>
      <c r="W663" s="2"/>
      <c r="X663" s="2"/>
    </row>
    <row r="664" ht="15.75" customHeight="1">
      <c r="R664" s="2"/>
      <c r="S664" s="2"/>
      <c r="T664" s="2"/>
      <c r="U664" s="2"/>
      <c r="V664" s="2"/>
      <c r="W664" s="2"/>
      <c r="X664" s="2"/>
    </row>
    <row r="665" ht="15.75" customHeight="1">
      <c r="R665" s="2"/>
      <c r="S665" s="2"/>
      <c r="T665" s="2"/>
      <c r="U665" s="2"/>
      <c r="V665" s="2"/>
      <c r="W665" s="2"/>
      <c r="X665" s="2"/>
    </row>
    <row r="666" ht="15.75" customHeight="1">
      <c r="R666" s="2"/>
      <c r="S666" s="2"/>
      <c r="T666" s="2"/>
      <c r="U666" s="2"/>
      <c r="V666" s="2"/>
      <c r="W666" s="2"/>
      <c r="X666" s="2"/>
    </row>
    <row r="667" ht="15.75" customHeight="1">
      <c r="R667" s="2"/>
      <c r="S667" s="2"/>
      <c r="T667" s="2"/>
      <c r="U667" s="2"/>
      <c r="V667" s="2"/>
      <c r="W667" s="2"/>
      <c r="X667" s="2"/>
    </row>
    <row r="668" ht="15.75" customHeight="1">
      <c r="R668" s="2"/>
      <c r="S668" s="2"/>
      <c r="T668" s="2"/>
      <c r="U668" s="2"/>
      <c r="V668" s="2"/>
      <c r="W668" s="2"/>
      <c r="X668" s="2"/>
    </row>
    <row r="669" ht="15.75" customHeight="1">
      <c r="R669" s="2"/>
      <c r="S669" s="2"/>
      <c r="T669" s="2"/>
      <c r="U669" s="2"/>
      <c r="V669" s="2"/>
      <c r="W669" s="2"/>
      <c r="X669" s="2"/>
    </row>
    <row r="670" ht="15.75" customHeight="1">
      <c r="R670" s="2"/>
      <c r="S670" s="2"/>
      <c r="T670" s="2"/>
      <c r="U670" s="2"/>
      <c r="V670" s="2"/>
      <c r="W670" s="2"/>
      <c r="X670" s="2"/>
    </row>
    <row r="671" ht="15.75" customHeight="1">
      <c r="R671" s="2"/>
      <c r="S671" s="2"/>
      <c r="T671" s="2"/>
      <c r="U671" s="2"/>
      <c r="V671" s="2"/>
      <c r="W671" s="2"/>
      <c r="X671" s="2"/>
    </row>
    <row r="672" ht="15.75" customHeight="1">
      <c r="R672" s="2"/>
      <c r="S672" s="2"/>
      <c r="T672" s="2"/>
      <c r="U672" s="2"/>
      <c r="V672" s="2"/>
      <c r="W672" s="2"/>
      <c r="X672" s="2"/>
    </row>
    <row r="673" ht="15.75" customHeight="1">
      <c r="R673" s="2"/>
      <c r="S673" s="2"/>
      <c r="T673" s="2"/>
      <c r="U673" s="2"/>
      <c r="V673" s="2"/>
      <c r="W673" s="2"/>
      <c r="X673" s="2"/>
    </row>
    <row r="674" ht="15.75" customHeight="1">
      <c r="R674" s="2"/>
      <c r="S674" s="2"/>
      <c r="T674" s="2"/>
      <c r="U674" s="2"/>
      <c r="V674" s="2"/>
      <c r="W674" s="2"/>
      <c r="X674" s="2"/>
    </row>
    <row r="675" ht="15.75" customHeight="1">
      <c r="R675" s="2"/>
      <c r="S675" s="2"/>
      <c r="T675" s="2"/>
      <c r="U675" s="2"/>
      <c r="V675" s="2"/>
      <c r="W675" s="2"/>
      <c r="X675" s="2"/>
    </row>
    <row r="676" ht="15.75" customHeight="1">
      <c r="R676" s="2"/>
      <c r="S676" s="2"/>
      <c r="T676" s="2"/>
      <c r="U676" s="2"/>
      <c r="V676" s="2"/>
      <c r="W676" s="2"/>
      <c r="X676" s="2"/>
    </row>
    <row r="677" ht="15.75" customHeight="1">
      <c r="R677" s="2"/>
      <c r="S677" s="2"/>
      <c r="T677" s="2"/>
      <c r="U677" s="2"/>
      <c r="V677" s="2"/>
      <c r="W677" s="2"/>
      <c r="X677" s="2"/>
    </row>
    <row r="678" ht="15.75" customHeight="1">
      <c r="R678" s="2"/>
      <c r="S678" s="2"/>
      <c r="T678" s="2"/>
      <c r="U678" s="2"/>
      <c r="V678" s="2"/>
      <c r="W678" s="2"/>
      <c r="X678" s="2"/>
    </row>
    <row r="679" ht="15.75" customHeight="1">
      <c r="R679" s="2"/>
      <c r="S679" s="2"/>
      <c r="T679" s="2"/>
      <c r="U679" s="2"/>
      <c r="V679" s="2"/>
      <c r="W679" s="2"/>
      <c r="X679" s="2"/>
    </row>
    <row r="680" ht="15.75" customHeight="1">
      <c r="R680" s="2"/>
      <c r="S680" s="2"/>
      <c r="T680" s="2"/>
      <c r="U680" s="2"/>
      <c r="V680" s="2"/>
      <c r="W680" s="2"/>
      <c r="X680" s="2"/>
    </row>
    <row r="681" ht="15.75" customHeight="1">
      <c r="R681" s="2"/>
      <c r="S681" s="2"/>
      <c r="T681" s="2"/>
      <c r="U681" s="2"/>
      <c r="V681" s="2"/>
      <c r="W681" s="2"/>
      <c r="X681" s="2"/>
    </row>
    <row r="682" ht="15.75" customHeight="1">
      <c r="R682" s="2"/>
      <c r="S682" s="2"/>
      <c r="T682" s="2"/>
      <c r="U682" s="2"/>
      <c r="V682" s="2"/>
      <c r="W682" s="2"/>
      <c r="X682" s="2"/>
    </row>
    <row r="683" ht="15.75" customHeight="1">
      <c r="R683" s="2"/>
      <c r="S683" s="2"/>
      <c r="T683" s="2"/>
      <c r="U683" s="2"/>
      <c r="V683" s="2"/>
      <c r="W683" s="2"/>
      <c r="X683" s="2"/>
    </row>
    <row r="684" ht="15.75" customHeight="1">
      <c r="R684" s="2"/>
      <c r="S684" s="2"/>
      <c r="T684" s="2"/>
      <c r="U684" s="2"/>
      <c r="V684" s="2"/>
      <c r="W684" s="2"/>
      <c r="X684" s="2"/>
    </row>
    <row r="685" ht="15.75" customHeight="1">
      <c r="R685" s="2"/>
      <c r="S685" s="2"/>
      <c r="T685" s="2"/>
      <c r="U685" s="2"/>
      <c r="V685" s="2"/>
      <c r="W685" s="2"/>
      <c r="X685" s="2"/>
    </row>
    <row r="686" ht="15.75" customHeight="1">
      <c r="R686" s="2"/>
      <c r="S686" s="2"/>
      <c r="T686" s="2"/>
      <c r="U686" s="2"/>
      <c r="V686" s="2"/>
      <c r="W686" s="2"/>
      <c r="X686" s="2"/>
    </row>
    <row r="687" ht="15.75" customHeight="1">
      <c r="R687" s="2"/>
      <c r="S687" s="2"/>
      <c r="T687" s="2"/>
      <c r="U687" s="2"/>
      <c r="V687" s="2"/>
      <c r="W687" s="2"/>
      <c r="X687" s="2"/>
    </row>
    <row r="688" ht="15.75" customHeight="1">
      <c r="R688" s="2"/>
      <c r="S688" s="2"/>
      <c r="T688" s="2"/>
      <c r="U688" s="2"/>
      <c r="V688" s="2"/>
      <c r="W688" s="2"/>
      <c r="X688" s="2"/>
    </row>
    <row r="689" ht="15.75" customHeight="1">
      <c r="R689" s="2"/>
      <c r="S689" s="2"/>
      <c r="T689" s="2"/>
      <c r="U689" s="2"/>
      <c r="V689" s="2"/>
      <c r="W689" s="2"/>
      <c r="X689" s="2"/>
    </row>
    <row r="690" ht="15.75" customHeight="1">
      <c r="R690" s="2"/>
      <c r="S690" s="2"/>
      <c r="T690" s="2"/>
      <c r="U690" s="2"/>
      <c r="V690" s="2"/>
      <c r="W690" s="2"/>
      <c r="X690" s="2"/>
    </row>
    <row r="691" ht="15.75" customHeight="1">
      <c r="R691" s="2"/>
      <c r="S691" s="2"/>
      <c r="T691" s="2"/>
      <c r="U691" s="2"/>
      <c r="V691" s="2"/>
      <c r="W691" s="2"/>
      <c r="X691" s="2"/>
    </row>
    <row r="692" ht="15.75" customHeight="1">
      <c r="R692" s="2"/>
      <c r="S692" s="2"/>
      <c r="T692" s="2"/>
      <c r="U692" s="2"/>
      <c r="V692" s="2"/>
      <c r="W692" s="2"/>
      <c r="X692" s="2"/>
    </row>
    <row r="693" ht="15.75" customHeight="1">
      <c r="R693" s="2"/>
      <c r="S693" s="2"/>
      <c r="T693" s="2"/>
      <c r="U693" s="2"/>
      <c r="V693" s="2"/>
      <c r="W693" s="2"/>
      <c r="X693" s="2"/>
    </row>
    <row r="694" ht="15.75" customHeight="1">
      <c r="R694" s="2"/>
      <c r="S694" s="2"/>
      <c r="T694" s="2"/>
      <c r="U694" s="2"/>
      <c r="V694" s="2"/>
      <c r="W694" s="2"/>
      <c r="X694" s="2"/>
    </row>
    <row r="695" ht="15.75" customHeight="1">
      <c r="R695" s="2"/>
      <c r="S695" s="2"/>
      <c r="T695" s="2"/>
      <c r="U695" s="2"/>
      <c r="V695" s="2"/>
      <c r="W695" s="2"/>
      <c r="X695" s="2"/>
    </row>
    <row r="696" ht="15.75" customHeight="1">
      <c r="R696" s="2"/>
      <c r="S696" s="2"/>
      <c r="T696" s="2"/>
      <c r="U696" s="2"/>
      <c r="V696" s="2"/>
      <c r="W696" s="2"/>
      <c r="X696" s="2"/>
    </row>
    <row r="697" ht="15.75" customHeight="1">
      <c r="R697" s="2"/>
      <c r="S697" s="2"/>
      <c r="T697" s="2"/>
      <c r="U697" s="2"/>
      <c r="V697" s="2"/>
      <c r="W697" s="2"/>
      <c r="X697" s="2"/>
    </row>
    <row r="698" ht="15.75" customHeight="1">
      <c r="R698" s="2"/>
      <c r="S698" s="2"/>
      <c r="T698" s="2"/>
      <c r="U698" s="2"/>
      <c r="V698" s="2"/>
      <c r="W698" s="2"/>
      <c r="X698" s="2"/>
    </row>
    <row r="699" ht="15.75" customHeight="1">
      <c r="R699" s="2"/>
      <c r="S699" s="2"/>
      <c r="T699" s="2"/>
      <c r="U699" s="2"/>
      <c r="V699" s="2"/>
      <c r="W699" s="2"/>
      <c r="X699" s="2"/>
    </row>
    <row r="700" ht="15.75" customHeight="1">
      <c r="R700" s="2"/>
      <c r="S700" s="2"/>
      <c r="T700" s="2"/>
      <c r="U700" s="2"/>
      <c r="V700" s="2"/>
      <c r="W700" s="2"/>
      <c r="X700" s="2"/>
    </row>
    <row r="701" ht="15.75" customHeight="1">
      <c r="R701" s="2"/>
      <c r="S701" s="2"/>
      <c r="T701" s="2"/>
      <c r="U701" s="2"/>
      <c r="V701" s="2"/>
      <c r="W701" s="2"/>
      <c r="X701" s="2"/>
    </row>
    <row r="702" ht="15.75" customHeight="1">
      <c r="R702" s="2"/>
      <c r="S702" s="2"/>
      <c r="T702" s="2"/>
      <c r="U702" s="2"/>
      <c r="V702" s="2"/>
      <c r="W702" s="2"/>
      <c r="X702" s="2"/>
    </row>
    <row r="703" ht="15.75" customHeight="1">
      <c r="R703" s="2"/>
      <c r="S703" s="2"/>
      <c r="T703" s="2"/>
      <c r="U703" s="2"/>
      <c r="V703" s="2"/>
      <c r="W703" s="2"/>
      <c r="X703" s="2"/>
    </row>
    <row r="704" ht="15.75" customHeight="1">
      <c r="R704" s="2"/>
      <c r="S704" s="2"/>
      <c r="T704" s="2"/>
      <c r="U704" s="2"/>
      <c r="V704" s="2"/>
      <c r="W704" s="2"/>
      <c r="X704" s="2"/>
    </row>
    <row r="705" ht="15.75" customHeight="1">
      <c r="R705" s="2"/>
      <c r="S705" s="2"/>
      <c r="T705" s="2"/>
      <c r="U705" s="2"/>
      <c r="V705" s="2"/>
      <c r="W705" s="2"/>
      <c r="X705" s="2"/>
    </row>
    <row r="706" ht="15.75" customHeight="1">
      <c r="R706" s="2"/>
      <c r="S706" s="2"/>
      <c r="T706" s="2"/>
      <c r="U706" s="2"/>
      <c r="V706" s="2"/>
      <c r="W706" s="2"/>
      <c r="X706" s="2"/>
    </row>
    <row r="707" ht="15.75" customHeight="1">
      <c r="R707" s="2"/>
      <c r="S707" s="2"/>
      <c r="T707" s="2"/>
      <c r="U707" s="2"/>
      <c r="V707" s="2"/>
      <c r="W707" s="2"/>
      <c r="X707" s="2"/>
    </row>
    <row r="708" ht="15.75" customHeight="1">
      <c r="R708" s="2"/>
      <c r="S708" s="2"/>
      <c r="T708" s="2"/>
      <c r="U708" s="2"/>
      <c r="V708" s="2"/>
      <c r="W708" s="2"/>
      <c r="X708" s="2"/>
    </row>
    <row r="709" ht="15.75" customHeight="1">
      <c r="R709" s="2"/>
      <c r="S709" s="2"/>
      <c r="T709" s="2"/>
      <c r="U709" s="2"/>
      <c r="V709" s="2"/>
      <c r="W709" s="2"/>
      <c r="X709" s="2"/>
    </row>
    <row r="710" ht="15.75" customHeight="1">
      <c r="R710" s="2"/>
      <c r="S710" s="2"/>
      <c r="T710" s="2"/>
      <c r="U710" s="2"/>
      <c r="V710" s="2"/>
      <c r="W710" s="2"/>
      <c r="X710" s="2"/>
    </row>
    <row r="711" ht="15.75" customHeight="1">
      <c r="R711" s="2"/>
      <c r="S711" s="2"/>
      <c r="T711" s="2"/>
      <c r="U711" s="2"/>
      <c r="V711" s="2"/>
      <c r="W711" s="2"/>
      <c r="X711" s="2"/>
    </row>
    <row r="712" ht="15.75" customHeight="1">
      <c r="R712" s="2"/>
      <c r="S712" s="2"/>
      <c r="T712" s="2"/>
      <c r="U712" s="2"/>
      <c r="V712" s="2"/>
      <c r="W712" s="2"/>
      <c r="X712" s="2"/>
    </row>
    <row r="713" ht="15.75" customHeight="1">
      <c r="R713" s="2"/>
      <c r="S713" s="2"/>
      <c r="T713" s="2"/>
      <c r="U713" s="2"/>
      <c r="V713" s="2"/>
      <c r="W713" s="2"/>
      <c r="X713" s="2"/>
    </row>
    <row r="714" ht="15.75" customHeight="1">
      <c r="R714" s="2"/>
      <c r="S714" s="2"/>
      <c r="T714" s="2"/>
      <c r="U714" s="2"/>
      <c r="V714" s="2"/>
      <c r="W714" s="2"/>
      <c r="X714" s="2"/>
    </row>
    <row r="715" ht="15.75" customHeight="1">
      <c r="R715" s="2"/>
      <c r="S715" s="2"/>
      <c r="T715" s="2"/>
      <c r="U715" s="2"/>
      <c r="V715" s="2"/>
      <c r="W715" s="2"/>
      <c r="X715" s="2"/>
    </row>
    <row r="716" ht="15.75" customHeight="1">
      <c r="R716" s="2"/>
      <c r="S716" s="2"/>
      <c r="T716" s="2"/>
      <c r="U716" s="2"/>
      <c r="V716" s="2"/>
      <c r="W716" s="2"/>
      <c r="X716" s="2"/>
    </row>
    <row r="717" ht="15.75" customHeight="1">
      <c r="R717" s="2"/>
      <c r="S717" s="2"/>
      <c r="T717" s="2"/>
      <c r="U717" s="2"/>
      <c r="V717" s="2"/>
      <c r="W717" s="2"/>
      <c r="X717" s="2"/>
    </row>
    <row r="718" ht="15.75" customHeight="1">
      <c r="R718" s="2"/>
      <c r="S718" s="2"/>
      <c r="T718" s="2"/>
      <c r="U718" s="2"/>
      <c r="V718" s="2"/>
      <c r="W718" s="2"/>
      <c r="X718" s="2"/>
    </row>
    <row r="719" ht="15.75" customHeight="1">
      <c r="R719" s="2"/>
      <c r="S719" s="2"/>
      <c r="T719" s="2"/>
      <c r="U719" s="2"/>
      <c r="V719" s="2"/>
      <c r="W719" s="2"/>
      <c r="X719" s="2"/>
    </row>
    <row r="720" ht="15.75" customHeight="1">
      <c r="R720" s="2"/>
      <c r="S720" s="2"/>
      <c r="T720" s="2"/>
      <c r="U720" s="2"/>
      <c r="V720" s="2"/>
      <c r="W720" s="2"/>
      <c r="X720" s="2"/>
    </row>
    <row r="721" ht="15.75" customHeight="1">
      <c r="R721" s="2"/>
      <c r="S721" s="2"/>
      <c r="T721" s="2"/>
      <c r="U721" s="2"/>
      <c r="V721" s="2"/>
      <c r="W721" s="2"/>
      <c r="X721" s="2"/>
    </row>
    <row r="722" ht="15.75" customHeight="1">
      <c r="R722" s="2"/>
      <c r="S722" s="2"/>
      <c r="T722" s="2"/>
      <c r="U722" s="2"/>
      <c r="V722" s="2"/>
      <c r="W722" s="2"/>
      <c r="X722" s="2"/>
    </row>
    <row r="723" ht="15.75" customHeight="1">
      <c r="R723" s="2"/>
      <c r="S723" s="2"/>
      <c r="T723" s="2"/>
      <c r="U723" s="2"/>
      <c r="V723" s="2"/>
      <c r="W723" s="2"/>
      <c r="X723" s="2"/>
    </row>
    <row r="724" ht="15.75" customHeight="1">
      <c r="R724" s="2"/>
      <c r="S724" s="2"/>
      <c r="T724" s="2"/>
      <c r="U724" s="2"/>
      <c r="V724" s="2"/>
      <c r="W724" s="2"/>
      <c r="X724" s="2"/>
    </row>
    <row r="725" ht="15.75" customHeight="1">
      <c r="R725" s="2"/>
      <c r="S725" s="2"/>
      <c r="T725" s="2"/>
      <c r="U725" s="2"/>
      <c r="V725" s="2"/>
      <c r="W725" s="2"/>
      <c r="X725" s="2"/>
    </row>
    <row r="726" ht="15.75" customHeight="1">
      <c r="R726" s="2"/>
      <c r="S726" s="2"/>
      <c r="T726" s="2"/>
      <c r="U726" s="2"/>
      <c r="V726" s="2"/>
      <c r="W726" s="2"/>
      <c r="X726" s="2"/>
    </row>
    <row r="727" ht="15.75" customHeight="1">
      <c r="R727" s="2"/>
      <c r="S727" s="2"/>
      <c r="T727" s="2"/>
      <c r="U727" s="2"/>
      <c r="V727" s="2"/>
      <c r="W727" s="2"/>
      <c r="X727" s="2"/>
    </row>
    <row r="728" ht="15.75" customHeight="1">
      <c r="R728" s="2"/>
      <c r="S728" s="2"/>
      <c r="T728" s="2"/>
      <c r="U728" s="2"/>
      <c r="V728" s="2"/>
      <c r="W728" s="2"/>
      <c r="X728" s="2"/>
    </row>
    <row r="729" ht="15.75" customHeight="1">
      <c r="R729" s="2"/>
      <c r="S729" s="2"/>
      <c r="T729" s="2"/>
      <c r="U729" s="2"/>
      <c r="V729" s="2"/>
      <c r="W729" s="2"/>
      <c r="X729" s="2"/>
    </row>
    <row r="730" ht="15.75" customHeight="1">
      <c r="R730" s="2"/>
      <c r="S730" s="2"/>
      <c r="T730" s="2"/>
      <c r="U730" s="2"/>
      <c r="V730" s="2"/>
      <c r="W730" s="2"/>
      <c r="X730" s="2"/>
    </row>
    <row r="731" ht="15.75" customHeight="1">
      <c r="R731" s="2"/>
      <c r="S731" s="2"/>
      <c r="T731" s="2"/>
      <c r="U731" s="2"/>
      <c r="V731" s="2"/>
      <c r="W731" s="2"/>
      <c r="X731" s="2"/>
    </row>
    <row r="732" ht="15.75" customHeight="1">
      <c r="R732" s="2"/>
      <c r="S732" s="2"/>
      <c r="T732" s="2"/>
      <c r="U732" s="2"/>
      <c r="V732" s="2"/>
      <c r="W732" s="2"/>
      <c r="X732" s="2"/>
    </row>
    <row r="733" ht="15.75" customHeight="1">
      <c r="R733" s="2"/>
      <c r="S733" s="2"/>
      <c r="T733" s="2"/>
      <c r="U733" s="2"/>
      <c r="V733" s="2"/>
      <c r="W733" s="2"/>
      <c r="X733" s="2"/>
    </row>
    <row r="734" ht="15.75" customHeight="1">
      <c r="R734" s="2"/>
      <c r="S734" s="2"/>
      <c r="T734" s="2"/>
      <c r="U734" s="2"/>
      <c r="V734" s="2"/>
      <c r="W734" s="2"/>
      <c r="X734" s="2"/>
    </row>
    <row r="735" ht="15.75" customHeight="1">
      <c r="R735" s="2"/>
      <c r="S735" s="2"/>
      <c r="T735" s="2"/>
      <c r="U735" s="2"/>
      <c r="V735" s="2"/>
      <c r="W735" s="2"/>
      <c r="X735" s="2"/>
    </row>
    <row r="736" ht="15.75" customHeight="1">
      <c r="R736" s="2"/>
      <c r="S736" s="2"/>
      <c r="T736" s="2"/>
      <c r="U736" s="2"/>
      <c r="V736" s="2"/>
      <c r="W736" s="2"/>
      <c r="X736" s="2"/>
    </row>
    <row r="737" ht="15.75" customHeight="1">
      <c r="R737" s="2"/>
      <c r="S737" s="2"/>
      <c r="T737" s="2"/>
      <c r="U737" s="2"/>
      <c r="V737" s="2"/>
      <c r="W737" s="2"/>
      <c r="X737" s="2"/>
    </row>
    <row r="738" ht="15.75" customHeight="1">
      <c r="R738" s="2"/>
      <c r="S738" s="2"/>
      <c r="T738" s="2"/>
      <c r="U738" s="2"/>
      <c r="V738" s="2"/>
      <c r="W738" s="2"/>
      <c r="X738" s="2"/>
    </row>
    <row r="739" ht="15.75" customHeight="1">
      <c r="R739" s="2"/>
      <c r="S739" s="2"/>
      <c r="T739" s="2"/>
      <c r="U739" s="2"/>
      <c r="V739" s="2"/>
      <c r="W739" s="2"/>
      <c r="X739" s="2"/>
    </row>
    <row r="740" ht="15.75" customHeight="1">
      <c r="R740" s="2"/>
      <c r="S740" s="2"/>
      <c r="T740" s="2"/>
      <c r="U740" s="2"/>
      <c r="V740" s="2"/>
      <c r="W740" s="2"/>
      <c r="X740" s="2"/>
    </row>
    <row r="741" ht="15.75" customHeight="1">
      <c r="R741" s="2"/>
      <c r="S741" s="2"/>
      <c r="T741" s="2"/>
      <c r="U741" s="2"/>
      <c r="V741" s="2"/>
      <c r="W741" s="2"/>
      <c r="X741" s="2"/>
    </row>
    <row r="742" ht="15.75" customHeight="1">
      <c r="R742" s="2"/>
      <c r="S742" s="2"/>
      <c r="T742" s="2"/>
      <c r="U742" s="2"/>
      <c r="V742" s="2"/>
      <c r="W742" s="2"/>
      <c r="X742" s="2"/>
    </row>
    <row r="743" ht="15.75" customHeight="1">
      <c r="R743" s="2"/>
      <c r="S743" s="2"/>
      <c r="T743" s="2"/>
      <c r="U743" s="2"/>
      <c r="V743" s="2"/>
      <c r="W743" s="2"/>
      <c r="X743" s="2"/>
    </row>
    <row r="744" ht="15.75" customHeight="1">
      <c r="R744" s="2"/>
      <c r="S744" s="2"/>
      <c r="T744" s="2"/>
      <c r="U744" s="2"/>
      <c r="V744" s="2"/>
      <c r="W744" s="2"/>
      <c r="X744" s="2"/>
    </row>
    <row r="745" ht="15.75" customHeight="1">
      <c r="R745" s="2"/>
      <c r="S745" s="2"/>
      <c r="T745" s="2"/>
      <c r="U745" s="2"/>
      <c r="V745" s="2"/>
      <c r="W745" s="2"/>
      <c r="X745" s="2"/>
    </row>
    <row r="746" ht="15.75" customHeight="1">
      <c r="R746" s="2"/>
      <c r="S746" s="2"/>
      <c r="T746" s="2"/>
      <c r="U746" s="2"/>
      <c r="V746" s="2"/>
      <c r="W746" s="2"/>
      <c r="X746" s="2"/>
    </row>
    <row r="747" ht="15.75" customHeight="1">
      <c r="R747" s="2"/>
      <c r="S747" s="2"/>
      <c r="T747" s="2"/>
      <c r="U747" s="2"/>
      <c r="V747" s="2"/>
      <c r="W747" s="2"/>
      <c r="X747" s="2"/>
    </row>
    <row r="748" ht="15.75" customHeight="1">
      <c r="R748" s="2"/>
      <c r="S748" s="2"/>
      <c r="T748" s="2"/>
      <c r="U748" s="2"/>
      <c r="V748" s="2"/>
      <c r="W748" s="2"/>
      <c r="X748" s="2"/>
    </row>
    <row r="749" ht="15.75" customHeight="1">
      <c r="R749" s="2"/>
      <c r="S749" s="2"/>
      <c r="T749" s="2"/>
      <c r="U749" s="2"/>
      <c r="V749" s="2"/>
      <c r="W749" s="2"/>
      <c r="X749" s="2"/>
    </row>
    <row r="750" ht="15.75" customHeight="1">
      <c r="R750" s="2"/>
      <c r="S750" s="2"/>
      <c r="T750" s="2"/>
      <c r="U750" s="2"/>
      <c r="V750" s="2"/>
      <c r="W750" s="2"/>
      <c r="X750" s="2"/>
    </row>
    <row r="751" ht="15.75" customHeight="1">
      <c r="R751" s="2"/>
      <c r="S751" s="2"/>
      <c r="T751" s="2"/>
      <c r="U751" s="2"/>
      <c r="V751" s="2"/>
      <c r="W751" s="2"/>
      <c r="X751" s="2"/>
    </row>
    <row r="752" ht="15.75" customHeight="1">
      <c r="R752" s="2"/>
      <c r="S752" s="2"/>
      <c r="T752" s="2"/>
      <c r="U752" s="2"/>
      <c r="V752" s="2"/>
      <c r="W752" s="2"/>
      <c r="X752" s="2"/>
    </row>
    <row r="753" ht="15.75" customHeight="1">
      <c r="R753" s="2"/>
      <c r="S753" s="2"/>
      <c r="T753" s="2"/>
      <c r="U753" s="2"/>
      <c r="V753" s="2"/>
      <c r="W753" s="2"/>
      <c r="X753" s="2"/>
    </row>
    <row r="754" ht="15.75" customHeight="1">
      <c r="R754" s="2"/>
      <c r="S754" s="2"/>
      <c r="T754" s="2"/>
      <c r="U754" s="2"/>
      <c r="V754" s="2"/>
      <c r="W754" s="2"/>
      <c r="X754" s="2"/>
    </row>
    <row r="755" ht="15.75" customHeight="1">
      <c r="R755" s="2"/>
      <c r="S755" s="2"/>
      <c r="T755" s="2"/>
      <c r="U755" s="2"/>
      <c r="V755" s="2"/>
      <c r="W755" s="2"/>
      <c r="X755" s="2"/>
    </row>
    <row r="756" ht="15.75" customHeight="1">
      <c r="R756" s="2"/>
      <c r="S756" s="2"/>
      <c r="T756" s="2"/>
      <c r="U756" s="2"/>
      <c r="V756" s="2"/>
      <c r="W756" s="2"/>
      <c r="X756" s="2"/>
    </row>
    <row r="757" ht="15.75" customHeight="1">
      <c r="R757" s="2"/>
      <c r="S757" s="2"/>
      <c r="T757" s="2"/>
      <c r="U757" s="2"/>
      <c r="V757" s="2"/>
      <c r="W757" s="2"/>
      <c r="X757" s="2"/>
    </row>
    <row r="758" ht="15.75" customHeight="1">
      <c r="R758" s="2"/>
      <c r="S758" s="2"/>
      <c r="T758" s="2"/>
      <c r="U758" s="2"/>
      <c r="V758" s="2"/>
      <c r="W758" s="2"/>
      <c r="X758" s="2"/>
    </row>
    <row r="759" ht="15.75" customHeight="1">
      <c r="R759" s="2"/>
      <c r="S759" s="2"/>
      <c r="T759" s="2"/>
      <c r="U759" s="2"/>
      <c r="V759" s="2"/>
      <c r="W759" s="2"/>
      <c r="X759" s="2"/>
    </row>
    <row r="760" ht="15.75" customHeight="1">
      <c r="R760" s="2"/>
      <c r="S760" s="2"/>
      <c r="T760" s="2"/>
      <c r="U760" s="2"/>
      <c r="V760" s="2"/>
      <c r="W760" s="2"/>
      <c r="X760" s="2"/>
    </row>
    <row r="761" ht="15.75" customHeight="1">
      <c r="R761" s="2"/>
      <c r="S761" s="2"/>
      <c r="T761" s="2"/>
      <c r="U761" s="2"/>
      <c r="V761" s="2"/>
      <c r="W761" s="2"/>
      <c r="X761" s="2"/>
    </row>
    <row r="762" ht="15.75" customHeight="1">
      <c r="R762" s="2"/>
      <c r="S762" s="2"/>
      <c r="T762" s="2"/>
      <c r="U762" s="2"/>
      <c r="V762" s="2"/>
      <c r="W762" s="2"/>
      <c r="X762" s="2"/>
    </row>
    <row r="763" ht="15.75" customHeight="1">
      <c r="R763" s="2"/>
      <c r="S763" s="2"/>
      <c r="T763" s="2"/>
      <c r="U763" s="2"/>
      <c r="V763" s="2"/>
      <c r="W763" s="2"/>
      <c r="X763" s="2"/>
    </row>
    <row r="764" ht="15.75" customHeight="1">
      <c r="R764" s="2"/>
      <c r="S764" s="2"/>
      <c r="T764" s="2"/>
      <c r="U764" s="2"/>
      <c r="V764" s="2"/>
      <c r="W764" s="2"/>
      <c r="X764" s="2"/>
    </row>
    <row r="765" ht="15.75" customHeight="1">
      <c r="R765" s="2"/>
      <c r="S765" s="2"/>
      <c r="T765" s="2"/>
      <c r="U765" s="2"/>
      <c r="V765" s="2"/>
      <c r="W765" s="2"/>
      <c r="X765" s="2"/>
    </row>
    <row r="766" ht="15.75" customHeight="1">
      <c r="R766" s="2"/>
      <c r="S766" s="2"/>
      <c r="T766" s="2"/>
      <c r="U766" s="2"/>
      <c r="V766" s="2"/>
      <c r="W766" s="2"/>
      <c r="X766" s="2"/>
    </row>
    <row r="767" ht="15.75" customHeight="1">
      <c r="R767" s="2"/>
      <c r="S767" s="2"/>
      <c r="T767" s="2"/>
      <c r="U767" s="2"/>
      <c r="V767" s="2"/>
      <c r="W767" s="2"/>
      <c r="X767" s="2"/>
    </row>
    <row r="768" ht="15.75" customHeight="1">
      <c r="R768" s="2"/>
      <c r="S768" s="2"/>
      <c r="T768" s="2"/>
      <c r="U768" s="2"/>
      <c r="V768" s="2"/>
      <c r="W768" s="2"/>
      <c r="X768" s="2"/>
    </row>
    <row r="769" ht="15.75" customHeight="1">
      <c r="R769" s="2"/>
      <c r="S769" s="2"/>
      <c r="T769" s="2"/>
      <c r="U769" s="2"/>
      <c r="V769" s="2"/>
      <c r="W769" s="2"/>
      <c r="X769" s="2"/>
    </row>
    <row r="770" ht="15.75" customHeight="1">
      <c r="R770" s="2"/>
      <c r="S770" s="2"/>
      <c r="T770" s="2"/>
      <c r="U770" s="2"/>
      <c r="V770" s="2"/>
      <c r="W770" s="2"/>
      <c r="X770" s="2"/>
    </row>
    <row r="771" ht="15.75" customHeight="1">
      <c r="R771" s="2"/>
      <c r="S771" s="2"/>
      <c r="T771" s="2"/>
      <c r="U771" s="2"/>
      <c r="V771" s="2"/>
      <c r="W771" s="2"/>
      <c r="X771" s="2"/>
    </row>
    <row r="772" ht="15.75" customHeight="1">
      <c r="R772" s="2"/>
      <c r="S772" s="2"/>
      <c r="T772" s="2"/>
      <c r="U772" s="2"/>
      <c r="V772" s="2"/>
      <c r="W772" s="2"/>
      <c r="X772" s="2"/>
    </row>
    <row r="773" ht="15.75" customHeight="1">
      <c r="R773" s="2"/>
      <c r="S773" s="2"/>
      <c r="T773" s="2"/>
      <c r="U773" s="2"/>
      <c r="V773" s="2"/>
      <c r="W773" s="2"/>
      <c r="X773" s="2"/>
    </row>
    <row r="774" ht="15.75" customHeight="1">
      <c r="R774" s="2"/>
      <c r="S774" s="2"/>
      <c r="T774" s="2"/>
      <c r="U774" s="2"/>
      <c r="V774" s="2"/>
      <c r="W774" s="2"/>
      <c r="X774" s="2"/>
    </row>
    <row r="775" ht="15.75" customHeight="1">
      <c r="R775" s="2"/>
      <c r="S775" s="2"/>
      <c r="T775" s="2"/>
      <c r="U775" s="2"/>
      <c r="V775" s="2"/>
      <c r="W775" s="2"/>
      <c r="X775" s="2"/>
    </row>
    <row r="776" ht="15.75" customHeight="1">
      <c r="R776" s="2"/>
      <c r="S776" s="2"/>
      <c r="T776" s="2"/>
      <c r="U776" s="2"/>
      <c r="V776" s="2"/>
      <c r="W776" s="2"/>
      <c r="X776" s="2"/>
    </row>
    <row r="777" ht="15.75" customHeight="1">
      <c r="R777" s="2"/>
      <c r="S777" s="2"/>
      <c r="T777" s="2"/>
      <c r="U777" s="2"/>
      <c r="V777" s="2"/>
      <c r="W777" s="2"/>
      <c r="X777" s="2"/>
    </row>
    <row r="778" ht="15.75" customHeight="1">
      <c r="R778" s="2"/>
      <c r="S778" s="2"/>
      <c r="T778" s="2"/>
      <c r="U778" s="2"/>
      <c r="V778" s="2"/>
      <c r="W778" s="2"/>
      <c r="X778" s="2"/>
    </row>
    <row r="779" ht="15.75" customHeight="1">
      <c r="R779" s="2"/>
      <c r="S779" s="2"/>
      <c r="T779" s="2"/>
      <c r="U779" s="2"/>
      <c r="V779" s="2"/>
      <c r="W779" s="2"/>
      <c r="X779" s="2"/>
    </row>
    <row r="780" ht="15.75" customHeight="1">
      <c r="R780" s="2"/>
      <c r="S780" s="2"/>
      <c r="T780" s="2"/>
      <c r="U780" s="2"/>
      <c r="V780" s="2"/>
      <c r="W780" s="2"/>
      <c r="X780" s="2"/>
    </row>
    <row r="781" ht="15.75" customHeight="1">
      <c r="R781" s="2"/>
      <c r="S781" s="2"/>
      <c r="T781" s="2"/>
      <c r="U781" s="2"/>
      <c r="V781" s="2"/>
      <c r="W781" s="2"/>
      <c r="X781" s="2"/>
    </row>
    <row r="782" ht="15.75" customHeight="1">
      <c r="R782" s="2"/>
      <c r="S782" s="2"/>
      <c r="T782" s="2"/>
      <c r="U782" s="2"/>
      <c r="V782" s="2"/>
      <c r="W782" s="2"/>
      <c r="X782" s="2"/>
    </row>
    <row r="783" ht="15.75" customHeight="1">
      <c r="R783" s="2"/>
      <c r="S783" s="2"/>
      <c r="T783" s="2"/>
      <c r="U783" s="2"/>
      <c r="V783" s="2"/>
      <c r="W783" s="2"/>
      <c r="X783" s="2"/>
    </row>
    <row r="784" ht="15.75" customHeight="1">
      <c r="R784" s="2"/>
      <c r="S784" s="2"/>
      <c r="T784" s="2"/>
      <c r="U784" s="2"/>
      <c r="V784" s="2"/>
      <c r="W784" s="2"/>
      <c r="X784" s="2"/>
    </row>
    <row r="785" ht="15.75" customHeight="1">
      <c r="R785" s="2"/>
      <c r="S785" s="2"/>
      <c r="T785" s="2"/>
      <c r="U785" s="2"/>
      <c r="V785" s="2"/>
      <c r="W785" s="2"/>
      <c r="X785" s="2"/>
    </row>
    <row r="786" ht="15.75" customHeight="1">
      <c r="R786" s="2"/>
      <c r="S786" s="2"/>
      <c r="T786" s="2"/>
      <c r="U786" s="2"/>
      <c r="V786" s="2"/>
      <c r="W786" s="2"/>
      <c r="X786" s="2"/>
    </row>
    <row r="787" ht="15.75" customHeight="1">
      <c r="R787" s="2"/>
      <c r="S787" s="2"/>
      <c r="T787" s="2"/>
      <c r="U787" s="2"/>
      <c r="V787" s="2"/>
      <c r="W787" s="2"/>
      <c r="X787" s="2"/>
    </row>
    <row r="788" ht="15.75" customHeight="1">
      <c r="R788" s="2"/>
      <c r="S788" s="2"/>
      <c r="T788" s="2"/>
      <c r="U788" s="2"/>
      <c r="V788" s="2"/>
      <c r="W788" s="2"/>
      <c r="X788" s="2"/>
    </row>
    <row r="789" ht="15.75" customHeight="1">
      <c r="R789" s="2"/>
      <c r="S789" s="2"/>
      <c r="T789" s="2"/>
      <c r="U789" s="2"/>
      <c r="V789" s="2"/>
      <c r="W789" s="2"/>
      <c r="X789" s="2"/>
    </row>
    <row r="790" ht="15.75" customHeight="1">
      <c r="R790" s="2"/>
      <c r="S790" s="2"/>
      <c r="T790" s="2"/>
      <c r="U790" s="2"/>
      <c r="V790" s="2"/>
      <c r="W790" s="2"/>
      <c r="X790" s="2"/>
    </row>
    <row r="791" ht="15.75" customHeight="1">
      <c r="R791" s="2"/>
      <c r="S791" s="2"/>
      <c r="T791" s="2"/>
      <c r="U791" s="2"/>
      <c r="V791" s="2"/>
      <c r="W791" s="2"/>
      <c r="X791" s="2"/>
    </row>
    <row r="792" ht="15.75" customHeight="1">
      <c r="R792" s="2"/>
      <c r="S792" s="2"/>
      <c r="T792" s="2"/>
      <c r="U792" s="2"/>
      <c r="V792" s="2"/>
      <c r="W792" s="2"/>
      <c r="X792" s="2"/>
    </row>
    <row r="793" ht="15.75" customHeight="1">
      <c r="R793" s="2"/>
      <c r="S793" s="2"/>
      <c r="T793" s="2"/>
      <c r="U793" s="2"/>
      <c r="V793" s="2"/>
      <c r="W793" s="2"/>
      <c r="X793" s="2"/>
    </row>
    <row r="794" ht="15.75" customHeight="1">
      <c r="R794" s="2"/>
      <c r="S794" s="2"/>
      <c r="T794" s="2"/>
      <c r="U794" s="2"/>
      <c r="V794" s="2"/>
      <c r="W794" s="2"/>
      <c r="X794" s="2"/>
    </row>
    <row r="795" ht="15.75" customHeight="1">
      <c r="R795" s="2"/>
      <c r="S795" s="2"/>
      <c r="T795" s="2"/>
      <c r="U795" s="2"/>
      <c r="V795" s="2"/>
      <c r="W795" s="2"/>
      <c r="X795" s="2"/>
    </row>
    <row r="796" ht="15.75" customHeight="1">
      <c r="R796" s="2"/>
      <c r="S796" s="2"/>
      <c r="T796" s="2"/>
      <c r="U796" s="2"/>
      <c r="V796" s="2"/>
      <c r="W796" s="2"/>
      <c r="X796" s="2"/>
    </row>
    <row r="797" ht="15.75" customHeight="1">
      <c r="R797" s="2"/>
      <c r="S797" s="2"/>
      <c r="T797" s="2"/>
      <c r="U797" s="2"/>
      <c r="V797" s="2"/>
      <c r="W797" s="2"/>
      <c r="X797" s="2"/>
    </row>
    <row r="798" ht="15.75" customHeight="1">
      <c r="R798" s="2"/>
      <c r="S798" s="2"/>
      <c r="T798" s="2"/>
      <c r="U798" s="2"/>
      <c r="V798" s="2"/>
      <c r="W798" s="2"/>
      <c r="X798" s="2"/>
    </row>
    <row r="799" ht="15.75" customHeight="1">
      <c r="R799" s="2"/>
      <c r="S799" s="2"/>
      <c r="T799" s="2"/>
      <c r="U799" s="2"/>
      <c r="V799" s="2"/>
      <c r="W799" s="2"/>
      <c r="X799" s="2"/>
    </row>
    <row r="800" ht="15.75" customHeight="1">
      <c r="R800" s="2"/>
      <c r="S800" s="2"/>
      <c r="T800" s="2"/>
      <c r="U800" s="2"/>
      <c r="V800" s="2"/>
      <c r="W800" s="2"/>
      <c r="X800" s="2"/>
    </row>
    <row r="801" ht="15.75" customHeight="1">
      <c r="R801" s="2"/>
      <c r="S801" s="2"/>
      <c r="T801" s="2"/>
      <c r="U801" s="2"/>
      <c r="V801" s="2"/>
      <c r="W801" s="2"/>
      <c r="X801" s="2"/>
    </row>
    <row r="802" ht="15.75" customHeight="1">
      <c r="R802" s="2"/>
      <c r="S802" s="2"/>
      <c r="T802" s="2"/>
      <c r="U802" s="2"/>
      <c r="V802" s="2"/>
      <c r="W802" s="2"/>
      <c r="X802" s="2"/>
    </row>
    <row r="803" ht="15.75" customHeight="1">
      <c r="R803" s="2"/>
      <c r="S803" s="2"/>
      <c r="T803" s="2"/>
      <c r="U803" s="2"/>
      <c r="V803" s="2"/>
      <c r="W803" s="2"/>
      <c r="X803" s="2"/>
    </row>
    <row r="804" ht="15.75" customHeight="1">
      <c r="R804" s="2"/>
      <c r="S804" s="2"/>
      <c r="T804" s="2"/>
      <c r="U804" s="2"/>
      <c r="V804" s="2"/>
      <c r="W804" s="2"/>
      <c r="X804" s="2"/>
    </row>
    <row r="805" ht="15.75" customHeight="1">
      <c r="R805" s="2"/>
      <c r="S805" s="2"/>
      <c r="T805" s="2"/>
      <c r="U805" s="2"/>
      <c r="V805" s="2"/>
      <c r="W805" s="2"/>
      <c r="X805" s="2"/>
    </row>
    <row r="806" ht="15.75" customHeight="1">
      <c r="R806" s="2"/>
      <c r="S806" s="2"/>
      <c r="T806" s="2"/>
      <c r="U806" s="2"/>
      <c r="V806" s="2"/>
      <c r="W806" s="2"/>
      <c r="X806" s="2"/>
    </row>
    <row r="807" ht="15.75" customHeight="1">
      <c r="R807" s="2"/>
      <c r="S807" s="2"/>
      <c r="T807" s="2"/>
      <c r="U807" s="2"/>
      <c r="V807" s="2"/>
      <c r="W807" s="2"/>
      <c r="X807" s="2"/>
    </row>
    <row r="808" ht="15.75" customHeight="1">
      <c r="R808" s="2"/>
      <c r="S808" s="2"/>
      <c r="T808" s="2"/>
      <c r="U808" s="2"/>
      <c r="V808" s="2"/>
      <c r="W808" s="2"/>
      <c r="X808" s="2"/>
    </row>
    <row r="809" ht="15.75" customHeight="1">
      <c r="R809" s="2"/>
      <c r="S809" s="2"/>
      <c r="T809" s="2"/>
      <c r="U809" s="2"/>
      <c r="V809" s="2"/>
      <c r="W809" s="2"/>
      <c r="X809" s="2"/>
    </row>
    <row r="810" ht="15.75" customHeight="1">
      <c r="R810" s="2"/>
      <c r="S810" s="2"/>
      <c r="T810" s="2"/>
      <c r="U810" s="2"/>
      <c r="V810" s="2"/>
      <c r="W810" s="2"/>
      <c r="X810" s="2"/>
    </row>
    <row r="811" ht="15.75" customHeight="1">
      <c r="R811" s="2"/>
      <c r="S811" s="2"/>
      <c r="T811" s="2"/>
      <c r="U811" s="2"/>
      <c r="V811" s="2"/>
      <c r="W811" s="2"/>
      <c r="X811" s="2"/>
    </row>
    <row r="812" ht="15.75" customHeight="1">
      <c r="R812" s="2"/>
      <c r="S812" s="2"/>
      <c r="T812" s="2"/>
      <c r="U812" s="2"/>
      <c r="V812" s="2"/>
      <c r="W812" s="2"/>
      <c r="X812" s="2"/>
    </row>
    <row r="813" ht="15.75" customHeight="1">
      <c r="R813" s="2"/>
      <c r="S813" s="2"/>
      <c r="T813" s="2"/>
      <c r="U813" s="2"/>
      <c r="V813" s="2"/>
      <c r="W813" s="2"/>
      <c r="X813" s="2"/>
    </row>
    <row r="814" ht="15.75" customHeight="1">
      <c r="R814" s="2"/>
      <c r="S814" s="2"/>
      <c r="T814" s="2"/>
      <c r="U814" s="2"/>
      <c r="V814" s="2"/>
      <c r="W814" s="2"/>
      <c r="X814" s="2"/>
    </row>
    <row r="815" ht="15.75" customHeight="1">
      <c r="R815" s="2"/>
      <c r="S815" s="2"/>
      <c r="T815" s="2"/>
      <c r="U815" s="2"/>
      <c r="V815" s="2"/>
      <c r="W815" s="2"/>
      <c r="X815" s="2"/>
    </row>
    <row r="816" ht="15.75" customHeight="1">
      <c r="R816" s="2"/>
      <c r="S816" s="2"/>
      <c r="T816" s="2"/>
      <c r="U816" s="2"/>
      <c r="V816" s="2"/>
      <c r="W816" s="2"/>
      <c r="X816" s="2"/>
    </row>
    <row r="817" ht="15.75" customHeight="1">
      <c r="R817" s="2"/>
      <c r="S817" s="2"/>
      <c r="T817" s="2"/>
      <c r="U817" s="2"/>
      <c r="V817" s="2"/>
      <c r="W817" s="2"/>
      <c r="X817" s="2"/>
    </row>
    <row r="818" ht="15.75" customHeight="1">
      <c r="R818" s="2"/>
      <c r="S818" s="2"/>
      <c r="T818" s="2"/>
      <c r="U818" s="2"/>
      <c r="V818" s="2"/>
      <c r="W818" s="2"/>
      <c r="X818" s="2"/>
    </row>
    <row r="819" ht="15.75" customHeight="1">
      <c r="R819" s="2"/>
      <c r="S819" s="2"/>
      <c r="T819" s="2"/>
      <c r="U819" s="2"/>
      <c r="V819" s="2"/>
      <c r="W819" s="2"/>
      <c r="X819" s="2"/>
    </row>
    <row r="820" ht="15.75" customHeight="1">
      <c r="R820" s="2"/>
      <c r="S820" s="2"/>
      <c r="T820" s="2"/>
      <c r="U820" s="2"/>
      <c r="V820" s="2"/>
      <c r="W820" s="2"/>
      <c r="X820" s="2"/>
    </row>
    <row r="821" ht="15.75" customHeight="1">
      <c r="R821" s="2"/>
      <c r="S821" s="2"/>
      <c r="T821" s="2"/>
      <c r="U821" s="2"/>
      <c r="V821" s="2"/>
      <c r="W821" s="2"/>
      <c r="X821" s="2"/>
    </row>
    <row r="822" ht="15.75" customHeight="1">
      <c r="R822" s="2"/>
      <c r="S822" s="2"/>
      <c r="T822" s="2"/>
      <c r="U822" s="2"/>
      <c r="V822" s="2"/>
      <c r="W822" s="2"/>
      <c r="X822" s="2"/>
    </row>
    <row r="823" ht="15.75" customHeight="1">
      <c r="R823" s="2"/>
      <c r="S823" s="2"/>
      <c r="T823" s="2"/>
      <c r="U823" s="2"/>
      <c r="V823" s="2"/>
      <c r="W823" s="2"/>
      <c r="X823" s="2"/>
    </row>
    <row r="824" ht="15.75" customHeight="1">
      <c r="R824" s="2"/>
      <c r="S824" s="2"/>
      <c r="T824" s="2"/>
      <c r="U824" s="2"/>
      <c r="V824" s="2"/>
      <c r="W824" s="2"/>
      <c r="X824" s="2"/>
    </row>
    <row r="825" ht="15.75" customHeight="1">
      <c r="R825" s="2"/>
      <c r="S825" s="2"/>
      <c r="T825" s="2"/>
      <c r="U825" s="2"/>
      <c r="V825" s="2"/>
      <c r="W825" s="2"/>
      <c r="X825" s="2"/>
    </row>
    <row r="826" ht="15.75" customHeight="1">
      <c r="R826" s="2"/>
      <c r="S826" s="2"/>
      <c r="T826" s="2"/>
      <c r="U826" s="2"/>
      <c r="V826" s="2"/>
      <c r="W826" s="2"/>
      <c r="X826" s="2"/>
    </row>
    <row r="827" ht="15.75" customHeight="1">
      <c r="R827" s="2"/>
      <c r="S827" s="2"/>
      <c r="T827" s="2"/>
      <c r="U827" s="2"/>
      <c r="V827" s="2"/>
      <c r="W827" s="2"/>
      <c r="X827" s="2"/>
    </row>
    <row r="828" ht="15.75" customHeight="1">
      <c r="R828" s="2"/>
      <c r="S828" s="2"/>
      <c r="T828" s="2"/>
      <c r="U828" s="2"/>
      <c r="V828" s="2"/>
      <c r="W828" s="2"/>
      <c r="X828" s="2"/>
    </row>
    <row r="829" ht="15.75" customHeight="1">
      <c r="R829" s="2"/>
      <c r="S829" s="2"/>
      <c r="T829" s="2"/>
      <c r="U829" s="2"/>
      <c r="V829" s="2"/>
      <c r="W829" s="2"/>
      <c r="X829" s="2"/>
    </row>
    <row r="830" ht="15.75" customHeight="1">
      <c r="R830" s="2"/>
      <c r="S830" s="2"/>
      <c r="T830" s="2"/>
      <c r="U830" s="2"/>
      <c r="V830" s="2"/>
      <c r="W830" s="2"/>
      <c r="X830" s="2"/>
    </row>
    <row r="831" ht="15.75" customHeight="1">
      <c r="R831" s="2"/>
      <c r="S831" s="2"/>
      <c r="T831" s="2"/>
      <c r="U831" s="2"/>
      <c r="V831" s="2"/>
      <c r="W831" s="2"/>
      <c r="X831" s="2"/>
    </row>
    <row r="832" ht="15.75" customHeight="1">
      <c r="R832" s="2"/>
      <c r="S832" s="2"/>
      <c r="T832" s="2"/>
      <c r="U832" s="2"/>
      <c r="V832" s="2"/>
      <c r="W832" s="2"/>
      <c r="X832" s="2"/>
    </row>
    <row r="833" ht="15.75" customHeight="1">
      <c r="R833" s="2"/>
      <c r="S833" s="2"/>
      <c r="T833" s="2"/>
      <c r="U833" s="2"/>
      <c r="V833" s="2"/>
      <c r="W833" s="2"/>
      <c r="X833" s="2"/>
    </row>
    <row r="834" ht="15.75" customHeight="1">
      <c r="R834" s="2"/>
      <c r="S834" s="2"/>
      <c r="T834" s="2"/>
      <c r="U834" s="2"/>
      <c r="V834" s="2"/>
      <c r="W834" s="2"/>
      <c r="X834" s="2"/>
    </row>
    <row r="835" ht="15.75" customHeight="1">
      <c r="R835" s="2"/>
      <c r="S835" s="2"/>
      <c r="T835" s="2"/>
      <c r="U835" s="2"/>
      <c r="V835" s="2"/>
      <c r="W835" s="2"/>
      <c r="X835" s="2"/>
    </row>
    <row r="836" ht="15.75" customHeight="1">
      <c r="R836" s="2"/>
      <c r="S836" s="2"/>
      <c r="T836" s="2"/>
      <c r="U836" s="2"/>
      <c r="V836" s="2"/>
      <c r="W836" s="2"/>
      <c r="X836" s="2"/>
    </row>
    <row r="837" ht="15.75" customHeight="1">
      <c r="R837" s="2"/>
      <c r="S837" s="2"/>
      <c r="T837" s="2"/>
      <c r="U837" s="2"/>
      <c r="V837" s="2"/>
      <c r="W837" s="2"/>
      <c r="X837" s="2"/>
    </row>
    <row r="838" ht="15.75" customHeight="1">
      <c r="R838" s="2"/>
      <c r="S838" s="2"/>
      <c r="T838" s="2"/>
      <c r="U838" s="2"/>
      <c r="V838" s="2"/>
      <c r="W838" s="2"/>
      <c r="X838" s="2"/>
    </row>
    <row r="839" ht="15.75" customHeight="1">
      <c r="R839" s="2"/>
      <c r="S839" s="2"/>
      <c r="T839" s="2"/>
      <c r="U839" s="2"/>
      <c r="V839" s="2"/>
      <c r="W839" s="2"/>
      <c r="X839" s="2"/>
    </row>
    <row r="840" ht="15.75" customHeight="1">
      <c r="R840" s="2"/>
      <c r="S840" s="2"/>
      <c r="T840" s="2"/>
      <c r="U840" s="2"/>
      <c r="V840" s="2"/>
      <c r="W840" s="2"/>
      <c r="X840" s="2"/>
    </row>
    <row r="841" ht="15.75" customHeight="1">
      <c r="R841" s="2"/>
      <c r="S841" s="2"/>
      <c r="T841" s="2"/>
      <c r="U841" s="2"/>
      <c r="V841" s="2"/>
      <c r="W841" s="2"/>
      <c r="X841" s="2"/>
    </row>
    <row r="842" ht="15.75" customHeight="1">
      <c r="R842" s="2"/>
      <c r="S842" s="2"/>
      <c r="T842" s="2"/>
      <c r="U842" s="2"/>
      <c r="V842" s="2"/>
      <c r="W842" s="2"/>
      <c r="X842" s="2"/>
    </row>
    <row r="843" ht="15.75" customHeight="1">
      <c r="R843" s="2"/>
      <c r="S843" s="2"/>
      <c r="T843" s="2"/>
      <c r="U843" s="2"/>
      <c r="V843" s="2"/>
      <c r="W843" s="2"/>
      <c r="X843" s="2"/>
    </row>
    <row r="844" ht="15.75" customHeight="1">
      <c r="R844" s="2"/>
      <c r="S844" s="2"/>
      <c r="T844" s="2"/>
      <c r="U844" s="2"/>
      <c r="V844" s="2"/>
      <c r="W844" s="2"/>
      <c r="X844" s="2"/>
    </row>
    <row r="845" ht="15.75" customHeight="1">
      <c r="R845" s="2"/>
      <c r="S845" s="2"/>
      <c r="T845" s="2"/>
      <c r="U845" s="2"/>
      <c r="V845" s="2"/>
      <c r="W845" s="2"/>
      <c r="X845" s="2"/>
    </row>
    <row r="846" ht="15.75" customHeight="1">
      <c r="R846" s="2"/>
      <c r="S846" s="2"/>
      <c r="T846" s="2"/>
      <c r="U846" s="2"/>
      <c r="V846" s="2"/>
      <c r="W846" s="2"/>
      <c r="X846" s="2"/>
    </row>
    <row r="847" ht="15.75" customHeight="1">
      <c r="R847" s="2"/>
      <c r="S847" s="2"/>
      <c r="T847" s="2"/>
      <c r="U847" s="2"/>
      <c r="V847" s="2"/>
      <c r="W847" s="2"/>
      <c r="X847" s="2"/>
    </row>
    <row r="848" ht="15.75" customHeight="1">
      <c r="R848" s="2"/>
      <c r="S848" s="2"/>
      <c r="T848" s="2"/>
      <c r="U848" s="2"/>
      <c r="V848" s="2"/>
      <c r="W848" s="2"/>
      <c r="X848" s="2"/>
    </row>
    <row r="849" ht="15.75" customHeight="1">
      <c r="R849" s="2"/>
      <c r="S849" s="2"/>
      <c r="T849" s="2"/>
      <c r="U849" s="2"/>
      <c r="V849" s="2"/>
      <c r="W849" s="2"/>
      <c r="X849" s="2"/>
    </row>
    <row r="850" ht="15.75" customHeight="1">
      <c r="R850" s="2"/>
      <c r="S850" s="2"/>
      <c r="T850" s="2"/>
      <c r="U850" s="2"/>
      <c r="V850" s="2"/>
      <c r="W850" s="2"/>
      <c r="X850" s="2"/>
    </row>
    <row r="851" ht="15.75" customHeight="1">
      <c r="R851" s="2"/>
      <c r="S851" s="2"/>
      <c r="T851" s="2"/>
      <c r="U851" s="2"/>
      <c r="V851" s="2"/>
      <c r="W851" s="2"/>
      <c r="X851" s="2"/>
    </row>
    <row r="852" ht="15.75" customHeight="1">
      <c r="R852" s="2"/>
      <c r="S852" s="2"/>
      <c r="T852" s="2"/>
      <c r="U852" s="2"/>
      <c r="V852" s="2"/>
      <c r="W852" s="2"/>
      <c r="X852" s="2"/>
    </row>
    <row r="853" ht="15.75" customHeight="1">
      <c r="R853" s="2"/>
      <c r="S853" s="2"/>
      <c r="T853" s="2"/>
      <c r="U853" s="2"/>
      <c r="V853" s="2"/>
      <c r="W853" s="2"/>
      <c r="X853" s="2"/>
    </row>
    <row r="854" ht="15.75" customHeight="1">
      <c r="R854" s="2"/>
      <c r="S854" s="2"/>
      <c r="T854" s="2"/>
      <c r="U854" s="2"/>
      <c r="V854" s="2"/>
      <c r="W854" s="2"/>
      <c r="X854" s="2"/>
    </row>
    <row r="855" ht="15.75" customHeight="1">
      <c r="R855" s="2"/>
      <c r="S855" s="2"/>
      <c r="T855" s="2"/>
      <c r="U855" s="2"/>
      <c r="V855" s="2"/>
      <c r="W855" s="2"/>
      <c r="X855" s="2"/>
    </row>
    <row r="856" ht="15.75" customHeight="1">
      <c r="R856" s="2"/>
      <c r="S856" s="2"/>
      <c r="T856" s="2"/>
      <c r="U856" s="2"/>
      <c r="V856" s="2"/>
      <c r="W856" s="2"/>
      <c r="X856" s="2"/>
    </row>
    <row r="857" ht="15.75" customHeight="1">
      <c r="R857" s="2"/>
      <c r="S857" s="2"/>
      <c r="T857" s="2"/>
      <c r="U857" s="2"/>
      <c r="V857" s="2"/>
      <c r="W857" s="2"/>
      <c r="X857" s="2"/>
    </row>
    <row r="858" ht="15.75" customHeight="1">
      <c r="R858" s="2"/>
      <c r="S858" s="2"/>
      <c r="T858" s="2"/>
      <c r="U858" s="2"/>
      <c r="V858" s="2"/>
      <c r="W858" s="2"/>
      <c r="X858" s="2"/>
    </row>
    <row r="859" ht="15.75" customHeight="1">
      <c r="R859" s="2"/>
      <c r="S859" s="2"/>
      <c r="T859" s="2"/>
      <c r="U859" s="2"/>
      <c r="V859" s="2"/>
      <c r="W859" s="2"/>
      <c r="X859" s="2"/>
    </row>
    <row r="860" ht="15.75" customHeight="1">
      <c r="R860" s="2"/>
      <c r="S860" s="2"/>
      <c r="T860" s="2"/>
      <c r="U860" s="2"/>
      <c r="V860" s="2"/>
      <c r="W860" s="2"/>
      <c r="X860" s="2"/>
    </row>
    <row r="861" ht="15.75" customHeight="1">
      <c r="R861" s="2"/>
      <c r="S861" s="2"/>
      <c r="T861" s="2"/>
      <c r="U861" s="2"/>
      <c r="V861" s="2"/>
      <c r="W861" s="2"/>
      <c r="X861" s="2"/>
    </row>
    <row r="862" ht="15.75" customHeight="1">
      <c r="R862" s="2"/>
      <c r="S862" s="2"/>
      <c r="T862" s="2"/>
      <c r="U862" s="2"/>
      <c r="V862" s="2"/>
      <c r="W862" s="2"/>
      <c r="X862" s="2"/>
    </row>
    <row r="863" ht="15.75" customHeight="1">
      <c r="R863" s="2"/>
      <c r="S863" s="2"/>
      <c r="T863" s="2"/>
      <c r="U863" s="2"/>
      <c r="V863" s="2"/>
      <c r="W863" s="2"/>
      <c r="X863" s="2"/>
    </row>
    <row r="864" ht="15.75" customHeight="1">
      <c r="R864" s="2"/>
      <c r="S864" s="2"/>
      <c r="T864" s="2"/>
      <c r="U864" s="2"/>
      <c r="V864" s="2"/>
      <c r="W864" s="2"/>
      <c r="X864" s="2"/>
    </row>
    <row r="865" ht="15.75" customHeight="1">
      <c r="R865" s="2"/>
      <c r="S865" s="2"/>
      <c r="T865" s="2"/>
      <c r="U865" s="2"/>
      <c r="V865" s="2"/>
      <c r="W865" s="2"/>
      <c r="X865" s="2"/>
    </row>
    <row r="866" ht="15.75" customHeight="1">
      <c r="R866" s="2"/>
      <c r="S866" s="2"/>
      <c r="T866" s="2"/>
      <c r="U866" s="2"/>
      <c r="V866" s="2"/>
      <c r="W866" s="2"/>
      <c r="X866" s="2"/>
    </row>
    <row r="867" ht="15.75" customHeight="1">
      <c r="R867" s="2"/>
      <c r="S867" s="2"/>
      <c r="T867" s="2"/>
      <c r="U867" s="2"/>
      <c r="V867" s="2"/>
      <c r="W867" s="2"/>
      <c r="X867" s="2"/>
    </row>
    <row r="868" ht="15.75" customHeight="1">
      <c r="R868" s="2"/>
      <c r="S868" s="2"/>
      <c r="T868" s="2"/>
      <c r="U868" s="2"/>
      <c r="V868" s="2"/>
      <c r="W868" s="2"/>
      <c r="X868" s="2"/>
    </row>
    <row r="869" ht="15.75" customHeight="1">
      <c r="R869" s="2"/>
      <c r="S869" s="2"/>
      <c r="T869" s="2"/>
      <c r="U869" s="2"/>
      <c r="V869" s="2"/>
      <c r="W869" s="2"/>
      <c r="X869" s="2"/>
    </row>
    <row r="870" ht="15.75" customHeight="1">
      <c r="R870" s="2"/>
      <c r="S870" s="2"/>
      <c r="T870" s="2"/>
      <c r="U870" s="2"/>
      <c r="V870" s="2"/>
      <c r="W870" s="2"/>
      <c r="X870" s="2"/>
    </row>
    <row r="871" ht="15.75" customHeight="1">
      <c r="R871" s="2"/>
      <c r="S871" s="2"/>
      <c r="T871" s="2"/>
      <c r="U871" s="2"/>
      <c r="V871" s="2"/>
      <c r="W871" s="2"/>
      <c r="X871" s="2"/>
    </row>
    <row r="872" ht="15.75" customHeight="1">
      <c r="R872" s="2"/>
      <c r="S872" s="2"/>
      <c r="T872" s="2"/>
      <c r="U872" s="2"/>
      <c r="V872" s="2"/>
      <c r="W872" s="2"/>
      <c r="X872" s="2"/>
    </row>
    <row r="873" ht="15.75" customHeight="1">
      <c r="R873" s="2"/>
      <c r="S873" s="2"/>
      <c r="T873" s="2"/>
      <c r="U873" s="2"/>
      <c r="V873" s="2"/>
      <c r="W873" s="2"/>
      <c r="X873" s="2"/>
    </row>
    <row r="874" ht="15.75" customHeight="1">
      <c r="R874" s="2"/>
      <c r="S874" s="2"/>
      <c r="T874" s="2"/>
      <c r="U874" s="2"/>
      <c r="V874" s="2"/>
      <c r="W874" s="2"/>
      <c r="X874" s="2"/>
    </row>
    <row r="875" ht="15.75" customHeight="1">
      <c r="R875" s="2"/>
      <c r="S875" s="2"/>
      <c r="T875" s="2"/>
      <c r="U875" s="2"/>
      <c r="V875" s="2"/>
      <c r="W875" s="2"/>
      <c r="X875" s="2"/>
    </row>
    <row r="876" ht="15.75" customHeight="1">
      <c r="R876" s="2"/>
      <c r="S876" s="2"/>
      <c r="T876" s="2"/>
      <c r="U876" s="2"/>
      <c r="V876" s="2"/>
      <c r="W876" s="2"/>
      <c r="X876" s="2"/>
    </row>
    <row r="877" ht="15.75" customHeight="1">
      <c r="R877" s="2"/>
      <c r="S877" s="2"/>
      <c r="T877" s="2"/>
      <c r="U877" s="2"/>
      <c r="V877" s="2"/>
      <c r="W877" s="2"/>
      <c r="X877" s="2"/>
    </row>
    <row r="878" ht="15.75" customHeight="1">
      <c r="R878" s="2"/>
      <c r="S878" s="2"/>
      <c r="T878" s="2"/>
      <c r="U878" s="2"/>
      <c r="V878" s="2"/>
      <c r="W878" s="2"/>
      <c r="X878" s="2"/>
    </row>
    <row r="879" ht="15.75" customHeight="1">
      <c r="R879" s="2"/>
      <c r="S879" s="2"/>
      <c r="T879" s="2"/>
      <c r="U879" s="2"/>
      <c r="V879" s="2"/>
      <c r="W879" s="2"/>
      <c r="X879" s="2"/>
    </row>
    <row r="880" ht="15.75" customHeight="1">
      <c r="R880" s="2"/>
      <c r="S880" s="2"/>
      <c r="T880" s="2"/>
      <c r="U880" s="2"/>
      <c r="V880" s="2"/>
      <c r="W880" s="2"/>
      <c r="X880" s="2"/>
    </row>
    <row r="881" ht="15.75" customHeight="1">
      <c r="R881" s="2"/>
      <c r="S881" s="2"/>
      <c r="T881" s="2"/>
      <c r="U881" s="2"/>
      <c r="V881" s="2"/>
      <c r="W881" s="2"/>
      <c r="X881" s="2"/>
    </row>
    <row r="882" ht="15.75" customHeight="1">
      <c r="R882" s="2"/>
      <c r="S882" s="2"/>
      <c r="T882" s="2"/>
      <c r="U882" s="2"/>
      <c r="V882" s="2"/>
      <c r="W882" s="2"/>
      <c r="X882" s="2"/>
    </row>
    <row r="883" ht="15.75" customHeight="1">
      <c r="R883" s="2"/>
      <c r="S883" s="2"/>
      <c r="T883" s="2"/>
      <c r="U883" s="2"/>
      <c r="V883" s="2"/>
      <c r="W883" s="2"/>
      <c r="X883" s="2"/>
    </row>
    <row r="884" ht="15.75" customHeight="1">
      <c r="R884" s="2"/>
      <c r="S884" s="2"/>
      <c r="T884" s="2"/>
      <c r="U884" s="2"/>
      <c r="V884" s="2"/>
      <c r="W884" s="2"/>
      <c r="X884" s="2"/>
    </row>
    <row r="885" ht="15.75" customHeight="1">
      <c r="R885" s="2"/>
      <c r="S885" s="2"/>
      <c r="T885" s="2"/>
      <c r="U885" s="2"/>
      <c r="V885" s="2"/>
      <c r="W885" s="2"/>
      <c r="X885" s="2"/>
    </row>
    <row r="886" ht="15.75" customHeight="1">
      <c r="R886" s="2"/>
      <c r="S886" s="2"/>
      <c r="T886" s="2"/>
      <c r="U886" s="2"/>
      <c r="V886" s="2"/>
      <c r="W886" s="2"/>
      <c r="X886" s="2"/>
    </row>
    <row r="887" ht="15.75" customHeight="1">
      <c r="R887" s="2"/>
      <c r="S887" s="2"/>
      <c r="T887" s="2"/>
      <c r="U887" s="2"/>
      <c r="V887" s="2"/>
      <c r="W887" s="2"/>
      <c r="X887" s="2"/>
    </row>
    <row r="888" ht="15.75" customHeight="1">
      <c r="R888" s="2"/>
      <c r="S888" s="2"/>
      <c r="T888" s="2"/>
      <c r="U888" s="2"/>
      <c r="V888" s="2"/>
      <c r="W888" s="2"/>
      <c r="X888" s="2"/>
    </row>
    <row r="889" ht="15.75" customHeight="1">
      <c r="R889" s="2"/>
      <c r="S889" s="2"/>
      <c r="T889" s="2"/>
      <c r="U889" s="2"/>
      <c r="V889" s="2"/>
      <c r="W889" s="2"/>
      <c r="X889" s="2"/>
    </row>
    <row r="890" ht="15.75" customHeight="1">
      <c r="R890" s="2"/>
      <c r="S890" s="2"/>
      <c r="T890" s="2"/>
      <c r="U890" s="2"/>
      <c r="V890" s="2"/>
      <c r="W890" s="2"/>
      <c r="X890" s="2"/>
    </row>
    <row r="891" ht="15.75" customHeight="1">
      <c r="R891" s="2"/>
      <c r="S891" s="2"/>
      <c r="T891" s="2"/>
      <c r="U891" s="2"/>
      <c r="V891" s="2"/>
      <c r="W891" s="2"/>
      <c r="X891" s="2"/>
    </row>
    <row r="892" ht="15.75" customHeight="1">
      <c r="R892" s="2"/>
      <c r="S892" s="2"/>
      <c r="T892" s="2"/>
      <c r="U892" s="2"/>
      <c r="V892" s="2"/>
      <c r="W892" s="2"/>
      <c r="X892" s="2"/>
    </row>
    <row r="893" ht="15.75" customHeight="1">
      <c r="R893" s="2"/>
      <c r="S893" s="2"/>
      <c r="T893" s="2"/>
      <c r="U893" s="2"/>
      <c r="V893" s="2"/>
      <c r="W893" s="2"/>
      <c r="X893" s="2"/>
    </row>
    <row r="894" ht="15.75" customHeight="1">
      <c r="R894" s="2"/>
      <c r="S894" s="2"/>
      <c r="T894" s="2"/>
      <c r="U894" s="2"/>
      <c r="V894" s="2"/>
      <c r="W894" s="2"/>
      <c r="X894" s="2"/>
    </row>
    <row r="895" ht="15.75" customHeight="1">
      <c r="R895" s="2"/>
      <c r="S895" s="2"/>
      <c r="T895" s="2"/>
      <c r="U895" s="2"/>
      <c r="V895" s="2"/>
      <c r="W895" s="2"/>
      <c r="X895" s="2"/>
    </row>
    <row r="896" ht="15.75" customHeight="1">
      <c r="R896" s="2"/>
      <c r="S896" s="2"/>
      <c r="T896" s="2"/>
      <c r="U896" s="2"/>
      <c r="V896" s="2"/>
      <c r="W896" s="2"/>
      <c r="X896" s="2"/>
    </row>
    <row r="897" ht="15.75" customHeight="1">
      <c r="R897" s="2"/>
      <c r="S897" s="2"/>
      <c r="T897" s="2"/>
      <c r="U897" s="2"/>
      <c r="V897" s="2"/>
      <c r="W897" s="2"/>
      <c r="X897" s="2"/>
    </row>
    <row r="898" ht="15.75" customHeight="1">
      <c r="R898" s="2"/>
      <c r="S898" s="2"/>
      <c r="T898" s="2"/>
      <c r="U898" s="2"/>
      <c r="V898" s="2"/>
      <c r="W898" s="2"/>
      <c r="X898" s="2"/>
    </row>
    <row r="899" ht="15.75" customHeight="1">
      <c r="R899" s="2"/>
      <c r="S899" s="2"/>
      <c r="T899" s="2"/>
      <c r="U899" s="2"/>
      <c r="V899" s="2"/>
      <c r="W899" s="2"/>
      <c r="X899" s="2"/>
    </row>
    <row r="900" ht="15.75" customHeight="1">
      <c r="R900" s="2"/>
      <c r="S900" s="2"/>
      <c r="T900" s="2"/>
      <c r="U900" s="2"/>
      <c r="V900" s="2"/>
      <c r="W900" s="2"/>
      <c r="X900" s="2"/>
    </row>
    <row r="901" ht="15.75" customHeight="1">
      <c r="R901" s="2"/>
      <c r="S901" s="2"/>
      <c r="T901" s="2"/>
      <c r="U901" s="2"/>
      <c r="V901" s="2"/>
      <c r="W901" s="2"/>
      <c r="X901" s="2"/>
    </row>
    <row r="902" ht="15.75" customHeight="1">
      <c r="R902" s="2"/>
      <c r="S902" s="2"/>
      <c r="T902" s="2"/>
      <c r="U902" s="2"/>
      <c r="V902" s="2"/>
      <c r="W902" s="2"/>
      <c r="X902" s="2"/>
    </row>
    <row r="903" ht="15.75" customHeight="1">
      <c r="R903" s="2"/>
      <c r="S903" s="2"/>
      <c r="T903" s="2"/>
      <c r="U903" s="2"/>
      <c r="V903" s="2"/>
      <c r="W903" s="2"/>
      <c r="X903" s="2"/>
    </row>
    <row r="904" ht="15.75" customHeight="1">
      <c r="R904" s="2"/>
      <c r="S904" s="2"/>
      <c r="T904" s="2"/>
      <c r="U904" s="2"/>
      <c r="V904" s="2"/>
      <c r="W904" s="2"/>
      <c r="X904" s="2"/>
    </row>
    <row r="905" ht="15.75" customHeight="1">
      <c r="R905" s="2"/>
      <c r="S905" s="2"/>
      <c r="T905" s="2"/>
      <c r="U905" s="2"/>
      <c r="V905" s="2"/>
      <c r="W905" s="2"/>
      <c r="X905" s="2"/>
    </row>
    <row r="906" ht="15.75" customHeight="1">
      <c r="R906" s="2"/>
      <c r="S906" s="2"/>
      <c r="T906" s="2"/>
      <c r="U906" s="2"/>
      <c r="V906" s="2"/>
      <c r="W906" s="2"/>
      <c r="X906" s="2"/>
    </row>
    <row r="907" ht="15.75" customHeight="1">
      <c r="R907" s="2"/>
      <c r="S907" s="2"/>
      <c r="T907" s="2"/>
      <c r="U907" s="2"/>
      <c r="V907" s="2"/>
      <c r="W907" s="2"/>
      <c r="X907" s="2"/>
    </row>
    <row r="908" ht="15.75" customHeight="1">
      <c r="R908" s="2"/>
      <c r="S908" s="2"/>
      <c r="T908" s="2"/>
      <c r="U908" s="2"/>
      <c r="V908" s="2"/>
      <c r="W908" s="2"/>
      <c r="X908" s="2"/>
    </row>
    <row r="909" ht="15.75" customHeight="1">
      <c r="R909" s="2"/>
      <c r="S909" s="2"/>
      <c r="T909" s="2"/>
      <c r="U909" s="2"/>
      <c r="V909" s="2"/>
      <c r="W909" s="2"/>
      <c r="X909" s="2"/>
    </row>
    <row r="910" ht="15.75" customHeight="1">
      <c r="R910" s="2"/>
      <c r="S910" s="2"/>
      <c r="T910" s="2"/>
      <c r="U910" s="2"/>
      <c r="V910" s="2"/>
      <c r="W910" s="2"/>
      <c r="X910" s="2"/>
    </row>
    <row r="911" ht="15.75" customHeight="1">
      <c r="R911" s="2"/>
      <c r="S911" s="2"/>
      <c r="T911" s="2"/>
      <c r="U911" s="2"/>
      <c r="V911" s="2"/>
      <c r="W911" s="2"/>
      <c r="X911" s="2"/>
    </row>
    <row r="912" ht="15.75" customHeight="1">
      <c r="R912" s="2"/>
      <c r="S912" s="2"/>
      <c r="T912" s="2"/>
      <c r="U912" s="2"/>
      <c r="V912" s="2"/>
      <c r="W912" s="2"/>
      <c r="X912" s="2"/>
    </row>
    <row r="913" ht="15.75" customHeight="1">
      <c r="R913" s="2"/>
      <c r="S913" s="2"/>
      <c r="T913" s="2"/>
      <c r="U913" s="2"/>
      <c r="V913" s="2"/>
      <c r="W913" s="2"/>
      <c r="X913" s="2"/>
    </row>
    <row r="914" ht="15.75" customHeight="1">
      <c r="R914" s="2"/>
      <c r="S914" s="2"/>
      <c r="T914" s="2"/>
      <c r="U914" s="2"/>
      <c r="V914" s="2"/>
      <c r="W914" s="2"/>
      <c r="X914" s="2"/>
    </row>
    <row r="915" ht="15.75" customHeight="1">
      <c r="R915" s="2"/>
      <c r="S915" s="2"/>
      <c r="T915" s="2"/>
      <c r="U915" s="2"/>
      <c r="V915" s="2"/>
      <c r="W915" s="2"/>
      <c r="X915" s="2"/>
    </row>
    <row r="916" ht="15.75" customHeight="1">
      <c r="R916" s="2"/>
      <c r="S916" s="2"/>
      <c r="T916" s="2"/>
      <c r="U916" s="2"/>
      <c r="V916" s="2"/>
      <c r="W916" s="2"/>
      <c r="X916" s="2"/>
    </row>
    <row r="917" ht="15.75" customHeight="1">
      <c r="R917" s="2"/>
      <c r="S917" s="2"/>
      <c r="T917" s="2"/>
      <c r="U917" s="2"/>
      <c r="V917" s="2"/>
      <c r="W917" s="2"/>
      <c r="X917" s="2"/>
    </row>
    <row r="918" ht="15.75" customHeight="1">
      <c r="R918" s="2"/>
      <c r="S918" s="2"/>
      <c r="T918" s="2"/>
      <c r="U918" s="2"/>
      <c r="V918" s="2"/>
      <c r="W918" s="2"/>
      <c r="X918" s="2"/>
    </row>
    <row r="919" ht="15.75" customHeight="1">
      <c r="R919" s="2"/>
      <c r="S919" s="2"/>
      <c r="T919" s="2"/>
      <c r="U919" s="2"/>
      <c r="V919" s="2"/>
      <c r="W919" s="2"/>
      <c r="X919" s="2"/>
    </row>
    <row r="920" ht="15.75" customHeight="1">
      <c r="R920" s="2"/>
      <c r="S920" s="2"/>
      <c r="T920" s="2"/>
      <c r="U920" s="2"/>
      <c r="V920" s="2"/>
      <c r="W920" s="2"/>
      <c r="X920" s="2"/>
    </row>
    <row r="921" ht="15.75" customHeight="1">
      <c r="R921" s="2"/>
      <c r="S921" s="2"/>
      <c r="T921" s="2"/>
      <c r="U921" s="2"/>
      <c r="V921" s="2"/>
      <c r="W921" s="2"/>
      <c r="X921" s="2"/>
    </row>
    <row r="922" ht="15.75" customHeight="1">
      <c r="R922" s="2"/>
      <c r="S922" s="2"/>
      <c r="T922" s="2"/>
      <c r="U922" s="2"/>
      <c r="V922" s="2"/>
      <c r="W922" s="2"/>
      <c r="X922" s="2"/>
    </row>
    <row r="923" ht="15.75" customHeight="1">
      <c r="R923" s="2"/>
      <c r="S923" s="2"/>
      <c r="T923" s="2"/>
      <c r="U923" s="2"/>
      <c r="V923" s="2"/>
      <c r="W923" s="2"/>
      <c r="X923" s="2"/>
    </row>
    <row r="924" ht="15.75" customHeight="1">
      <c r="R924" s="2"/>
      <c r="S924" s="2"/>
      <c r="T924" s="2"/>
      <c r="U924" s="2"/>
      <c r="V924" s="2"/>
      <c r="W924" s="2"/>
      <c r="X924" s="2"/>
    </row>
    <row r="925" ht="15.75" customHeight="1">
      <c r="R925" s="2"/>
      <c r="S925" s="2"/>
      <c r="T925" s="2"/>
      <c r="U925" s="2"/>
      <c r="V925" s="2"/>
      <c r="W925" s="2"/>
      <c r="X925" s="2"/>
    </row>
    <row r="926" ht="15.75" customHeight="1">
      <c r="R926" s="2"/>
      <c r="S926" s="2"/>
      <c r="T926" s="2"/>
      <c r="U926" s="2"/>
      <c r="V926" s="2"/>
      <c r="W926" s="2"/>
      <c r="X926" s="2"/>
    </row>
    <row r="927" ht="15.75" customHeight="1">
      <c r="R927" s="2"/>
      <c r="S927" s="2"/>
      <c r="T927" s="2"/>
      <c r="U927" s="2"/>
      <c r="V927" s="2"/>
      <c r="W927" s="2"/>
      <c r="X927" s="2"/>
    </row>
    <row r="928" ht="15.75" customHeight="1">
      <c r="R928" s="2"/>
      <c r="S928" s="2"/>
      <c r="T928" s="2"/>
      <c r="U928" s="2"/>
      <c r="V928" s="2"/>
      <c r="W928" s="2"/>
      <c r="X928" s="2"/>
    </row>
    <row r="929" ht="15.75" customHeight="1">
      <c r="R929" s="2"/>
      <c r="S929" s="2"/>
      <c r="T929" s="2"/>
      <c r="U929" s="2"/>
      <c r="V929" s="2"/>
      <c r="W929" s="2"/>
      <c r="X929" s="2"/>
    </row>
    <row r="930" ht="15.75" customHeight="1">
      <c r="R930" s="2"/>
      <c r="S930" s="2"/>
      <c r="T930" s="2"/>
      <c r="U930" s="2"/>
      <c r="V930" s="2"/>
      <c r="W930" s="2"/>
      <c r="X930" s="2"/>
    </row>
    <row r="931" ht="15.75" customHeight="1">
      <c r="R931" s="2"/>
      <c r="S931" s="2"/>
      <c r="T931" s="2"/>
      <c r="U931" s="2"/>
      <c r="V931" s="2"/>
      <c r="W931" s="2"/>
      <c r="X931" s="2"/>
    </row>
    <row r="932" ht="15.75" customHeight="1">
      <c r="R932" s="2"/>
      <c r="S932" s="2"/>
      <c r="T932" s="2"/>
      <c r="U932" s="2"/>
      <c r="V932" s="2"/>
      <c r="W932" s="2"/>
      <c r="X932" s="2"/>
    </row>
    <row r="933" ht="15.75" customHeight="1">
      <c r="R933" s="2"/>
      <c r="S933" s="2"/>
      <c r="T933" s="2"/>
      <c r="U933" s="2"/>
      <c r="V933" s="2"/>
      <c r="W933" s="2"/>
      <c r="X933" s="2"/>
    </row>
    <row r="934" ht="15.75" customHeight="1">
      <c r="R934" s="2"/>
      <c r="S934" s="2"/>
      <c r="T934" s="2"/>
      <c r="U934" s="2"/>
      <c r="V934" s="2"/>
      <c r="W934" s="2"/>
      <c r="X934" s="2"/>
    </row>
    <row r="935" ht="15.75" customHeight="1">
      <c r="R935" s="2"/>
      <c r="S935" s="2"/>
      <c r="T935" s="2"/>
      <c r="U935" s="2"/>
      <c r="V935" s="2"/>
      <c r="W935" s="2"/>
      <c r="X935" s="2"/>
    </row>
    <row r="936" ht="15.75" customHeight="1">
      <c r="R936" s="2"/>
      <c r="S936" s="2"/>
      <c r="T936" s="2"/>
      <c r="U936" s="2"/>
      <c r="V936" s="2"/>
      <c r="W936" s="2"/>
      <c r="X936" s="2"/>
    </row>
    <row r="937" ht="15.75" customHeight="1">
      <c r="R937" s="2"/>
      <c r="S937" s="2"/>
      <c r="T937" s="2"/>
      <c r="U937" s="2"/>
      <c r="V937" s="2"/>
      <c r="W937" s="2"/>
      <c r="X937" s="2"/>
    </row>
    <row r="938" ht="15.75" customHeight="1">
      <c r="R938" s="2"/>
      <c r="S938" s="2"/>
      <c r="T938" s="2"/>
      <c r="U938" s="2"/>
      <c r="V938" s="2"/>
      <c r="W938" s="2"/>
      <c r="X938" s="2"/>
    </row>
    <row r="939" ht="15.75" customHeight="1">
      <c r="R939" s="2"/>
      <c r="S939" s="2"/>
      <c r="T939" s="2"/>
      <c r="U939" s="2"/>
      <c r="V939" s="2"/>
      <c r="W939" s="2"/>
      <c r="X939" s="2"/>
    </row>
    <row r="940" ht="15.75" customHeight="1">
      <c r="R940" s="2"/>
      <c r="S940" s="2"/>
      <c r="T940" s="2"/>
      <c r="U940" s="2"/>
      <c r="V940" s="2"/>
      <c r="W940" s="2"/>
      <c r="X940" s="2"/>
    </row>
    <row r="941" ht="15.75" customHeight="1">
      <c r="R941" s="2"/>
      <c r="S941" s="2"/>
      <c r="T941" s="2"/>
      <c r="U941" s="2"/>
      <c r="V941" s="2"/>
      <c r="W941" s="2"/>
      <c r="X941" s="2"/>
    </row>
    <row r="942" ht="15.75" customHeight="1">
      <c r="R942" s="2"/>
      <c r="S942" s="2"/>
      <c r="T942" s="2"/>
      <c r="U942" s="2"/>
      <c r="V942" s="2"/>
      <c r="W942" s="2"/>
      <c r="X942" s="2"/>
    </row>
    <row r="943" ht="15.75" customHeight="1">
      <c r="R943" s="2"/>
      <c r="S943" s="2"/>
      <c r="T943" s="2"/>
      <c r="U943" s="2"/>
      <c r="V943" s="2"/>
      <c r="W943" s="2"/>
      <c r="X943" s="2"/>
    </row>
    <row r="944" ht="15.75" customHeight="1">
      <c r="R944" s="2"/>
      <c r="S944" s="2"/>
      <c r="T944" s="2"/>
      <c r="U944" s="2"/>
      <c r="V944" s="2"/>
      <c r="W944" s="2"/>
      <c r="X944" s="2"/>
    </row>
    <row r="945" ht="15.75" customHeight="1">
      <c r="R945" s="2"/>
      <c r="S945" s="2"/>
      <c r="T945" s="2"/>
      <c r="U945" s="2"/>
      <c r="V945" s="2"/>
      <c r="W945" s="2"/>
      <c r="X945" s="2"/>
    </row>
    <row r="946" ht="15.75" customHeight="1">
      <c r="R946" s="2"/>
      <c r="S946" s="2"/>
      <c r="T946" s="2"/>
      <c r="U946" s="2"/>
      <c r="V946" s="2"/>
      <c r="W946" s="2"/>
      <c r="X946" s="2"/>
    </row>
    <row r="947" ht="15.75" customHeight="1">
      <c r="R947" s="2"/>
      <c r="S947" s="2"/>
      <c r="T947" s="2"/>
      <c r="U947" s="2"/>
      <c r="V947" s="2"/>
      <c r="W947" s="2"/>
      <c r="X947" s="2"/>
    </row>
    <row r="948" ht="15.75" customHeight="1">
      <c r="R948" s="2"/>
      <c r="S948" s="2"/>
      <c r="T948" s="2"/>
      <c r="U948" s="2"/>
      <c r="V948" s="2"/>
      <c r="W948" s="2"/>
      <c r="X948" s="2"/>
    </row>
    <row r="949" ht="15.75" customHeight="1">
      <c r="R949" s="2"/>
      <c r="S949" s="2"/>
      <c r="T949" s="2"/>
      <c r="U949" s="2"/>
      <c r="V949" s="2"/>
      <c r="W949" s="2"/>
      <c r="X949" s="2"/>
    </row>
    <row r="950" ht="15.75" customHeight="1">
      <c r="R950" s="2"/>
      <c r="S950" s="2"/>
      <c r="T950" s="2"/>
      <c r="U950" s="2"/>
      <c r="V950" s="2"/>
      <c r="W950" s="2"/>
      <c r="X950" s="2"/>
    </row>
    <row r="951" ht="15.75" customHeight="1">
      <c r="R951" s="2"/>
      <c r="S951" s="2"/>
      <c r="T951" s="2"/>
      <c r="U951" s="2"/>
      <c r="V951" s="2"/>
      <c r="W951" s="2"/>
      <c r="X951" s="2"/>
    </row>
    <row r="952" ht="15.75" customHeight="1">
      <c r="R952" s="2"/>
      <c r="S952" s="2"/>
      <c r="T952" s="2"/>
      <c r="U952" s="2"/>
      <c r="V952" s="2"/>
      <c r="W952" s="2"/>
      <c r="X952" s="2"/>
    </row>
    <row r="953" ht="15.75" customHeight="1">
      <c r="R953" s="2"/>
      <c r="S953" s="2"/>
      <c r="T953" s="2"/>
      <c r="U953" s="2"/>
      <c r="V953" s="2"/>
      <c r="W953" s="2"/>
      <c r="X953" s="2"/>
    </row>
    <row r="954" ht="15.75" customHeight="1">
      <c r="R954" s="2"/>
      <c r="S954" s="2"/>
      <c r="T954" s="2"/>
      <c r="U954" s="2"/>
      <c r="V954" s="2"/>
      <c r="W954" s="2"/>
      <c r="X954" s="2"/>
    </row>
    <row r="955" ht="15.75" customHeight="1">
      <c r="R955" s="2"/>
      <c r="S955" s="2"/>
      <c r="T955" s="2"/>
      <c r="U955" s="2"/>
      <c r="V955" s="2"/>
      <c r="W955" s="2"/>
      <c r="X955" s="2"/>
    </row>
    <row r="956" ht="15.75" customHeight="1">
      <c r="R956" s="2"/>
      <c r="S956" s="2"/>
      <c r="T956" s="2"/>
      <c r="U956" s="2"/>
      <c r="V956" s="2"/>
      <c r="W956" s="2"/>
      <c r="X956" s="2"/>
    </row>
    <row r="957" ht="15.75" customHeight="1">
      <c r="R957" s="2"/>
      <c r="S957" s="2"/>
      <c r="T957" s="2"/>
      <c r="U957" s="2"/>
      <c r="V957" s="2"/>
      <c r="W957" s="2"/>
      <c r="X957" s="2"/>
    </row>
    <row r="958" ht="15.75" customHeight="1">
      <c r="R958" s="2"/>
      <c r="S958" s="2"/>
      <c r="T958" s="2"/>
      <c r="U958" s="2"/>
      <c r="V958" s="2"/>
      <c r="W958" s="2"/>
      <c r="X958" s="2"/>
    </row>
    <row r="959" ht="15.75" customHeight="1">
      <c r="R959" s="2"/>
      <c r="S959" s="2"/>
      <c r="T959" s="2"/>
      <c r="U959" s="2"/>
      <c r="V959" s="2"/>
      <c r="W959" s="2"/>
      <c r="X959" s="2"/>
    </row>
    <row r="960" ht="15.75" customHeight="1">
      <c r="R960" s="2"/>
      <c r="S960" s="2"/>
      <c r="T960" s="2"/>
      <c r="U960" s="2"/>
      <c r="V960" s="2"/>
      <c r="W960" s="2"/>
      <c r="X960" s="2"/>
    </row>
    <row r="961" ht="15.75" customHeight="1">
      <c r="R961" s="2"/>
      <c r="S961" s="2"/>
      <c r="T961" s="2"/>
      <c r="U961" s="2"/>
      <c r="V961" s="2"/>
      <c r="W961" s="2"/>
      <c r="X961" s="2"/>
    </row>
    <row r="962" ht="15.75" customHeight="1">
      <c r="R962" s="2"/>
      <c r="S962" s="2"/>
      <c r="T962" s="2"/>
      <c r="U962" s="2"/>
      <c r="V962" s="2"/>
      <c r="W962" s="2"/>
      <c r="X962" s="2"/>
    </row>
    <row r="963" ht="15.75" customHeight="1">
      <c r="R963" s="2"/>
      <c r="S963" s="2"/>
      <c r="T963" s="2"/>
      <c r="U963" s="2"/>
      <c r="V963" s="2"/>
      <c r="W963" s="2"/>
      <c r="X963" s="2"/>
    </row>
    <row r="964" ht="15.75" customHeight="1">
      <c r="R964" s="2"/>
      <c r="S964" s="2"/>
      <c r="T964" s="2"/>
      <c r="U964" s="2"/>
      <c r="V964" s="2"/>
      <c r="W964" s="2"/>
      <c r="X964" s="2"/>
    </row>
    <row r="965" ht="15.75" customHeight="1">
      <c r="R965" s="2"/>
      <c r="S965" s="2"/>
      <c r="T965" s="2"/>
      <c r="U965" s="2"/>
      <c r="V965" s="2"/>
      <c r="W965" s="2"/>
      <c r="X965" s="2"/>
    </row>
    <row r="966" ht="15.75" customHeight="1">
      <c r="R966" s="2"/>
      <c r="S966" s="2"/>
      <c r="T966" s="2"/>
      <c r="U966" s="2"/>
      <c r="V966" s="2"/>
      <c r="W966" s="2"/>
      <c r="X966" s="2"/>
    </row>
    <row r="967" ht="15.75" customHeight="1">
      <c r="R967" s="2"/>
      <c r="S967" s="2"/>
      <c r="T967" s="2"/>
      <c r="U967" s="2"/>
      <c r="V967" s="2"/>
      <c r="W967" s="2"/>
      <c r="X967" s="2"/>
    </row>
    <row r="968" ht="15.75" customHeight="1">
      <c r="R968" s="2"/>
      <c r="S968" s="2"/>
      <c r="T968" s="2"/>
      <c r="U968" s="2"/>
      <c r="V968" s="2"/>
      <c r="W968" s="2"/>
      <c r="X968" s="2"/>
    </row>
    <row r="969" ht="15.75" customHeight="1">
      <c r="R969" s="2"/>
      <c r="S969" s="2"/>
      <c r="T969" s="2"/>
      <c r="U969" s="2"/>
      <c r="V969" s="2"/>
      <c r="W969" s="2"/>
      <c r="X969" s="2"/>
    </row>
    <row r="970" ht="15.75" customHeight="1">
      <c r="R970" s="2"/>
      <c r="S970" s="2"/>
      <c r="T970" s="2"/>
      <c r="U970" s="2"/>
      <c r="V970" s="2"/>
      <c r="W970" s="2"/>
      <c r="X970" s="2"/>
    </row>
    <row r="971" ht="15.75" customHeight="1">
      <c r="R971" s="2"/>
      <c r="S971" s="2"/>
      <c r="T971" s="2"/>
      <c r="U971" s="2"/>
      <c r="V971" s="2"/>
      <c r="W971" s="2"/>
      <c r="X971" s="2"/>
    </row>
    <row r="972" ht="15.75" customHeight="1">
      <c r="R972" s="2"/>
      <c r="S972" s="2"/>
      <c r="T972" s="2"/>
      <c r="U972" s="2"/>
      <c r="V972" s="2"/>
      <c r="W972" s="2"/>
      <c r="X972" s="2"/>
    </row>
    <row r="973" ht="15.75" customHeight="1">
      <c r="R973" s="2"/>
      <c r="S973" s="2"/>
      <c r="T973" s="2"/>
      <c r="U973" s="2"/>
      <c r="V973" s="2"/>
      <c r="W973" s="2"/>
      <c r="X973" s="2"/>
    </row>
    <row r="974" ht="15.75" customHeight="1">
      <c r="R974" s="2"/>
      <c r="S974" s="2"/>
      <c r="T974" s="2"/>
      <c r="U974" s="2"/>
      <c r="V974" s="2"/>
      <c r="W974" s="2"/>
      <c r="X974" s="2"/>
    </row>
    <row r="975" ht="15.75" customHeight="1">
      <c r="R975" s="2"/>
      <c r="S975" s="2"/>
      <c r="T975" s="2"/>
      <c r="U975" s="2"/>
      <c r="V975" s="2"/>
      <c r="W975" s="2"/>
      <c r="X975" s="2"/>
    </row>
    <row r="976" ht="15.75" customHeight="1">
      <c r="R976" s="2"/>
      <c r="S976" s="2"/>
      <c r="T976" s="2"/>
      <c r="U976" s="2"/>
      <c r="V976" s="2"/>
      <c r="W976" s="2"/>
      <c r="X976" s="2"/>
    </row>
    <row r="977" ht="15.75" customHeight="1">
      <c r="R977" s="2"/>
      <c r="S977" s="2"/>
      <c r="T977" s="2"/>
      <c r="U977" s="2"/>
      <c r="V977" s="2"/>
      <c r="W977" s="2"/>
      <c r="X977" s="2"/>
    </row>
    <row r="978" ht="15.75" customHeight="1">
      <c r="R978" s="2"/>
      <c r="S978" s="2"/>
      <c r="T978" s="2"/>
      <c r="U978" s="2"/>
      <c r="V978" s="2"/>
      <c r="W978" s="2"/>
      <c r="X978" s="2"/>
    </row>
    <row r="979" ht="15.75" customHeight="1">
      <c r="R979" s="2"/>
      <c r="S979" s="2"/>
      <c r="T979" s="2"/>
      <c r="U979" s="2"/>
      <c r="V979" s="2"/>
      <c r="W979" s="2"/>
      <c r="X979" s="2"/>
    </row>
    <row r="980" ht="15.75" customHeight="1">
      <c r="R980" s="2"/>
      <c r="S980" s="2"/>
      <c r="T980" s="2"/>
      <c r="U980" s="2"/>
      <c r="V980" s="2"/>
      <c r="W980" s="2"/>
      <c r="X980" s="2"/>
    </row>
    <row r="981" ht="15.75" customHeight="1">
      <c r="R981" s="2"/>
      <c r="S981" s="2"/>
      <c r="T981" s="2"/>
      <c r="U981" s="2"/>
      <c r="V981" s="2"/>
      <c r="W981" s="2"/>
      <c r="X981" s="2"/>
    </row>
    <row r="982" ht="15.75" customHeight="1">
      <c r="R982" s="2"/>
      <c r="S982" s="2"/>
      <c r="T982" s="2"/>
      <c r="U982" s="2"/>
      <c r="V982" s="2"/>
      <c r="W982" s="2"/>
      <c r="X982" s="2"/>
    </row>
    <row r="983" ht="15.75" customHeight="1">
      <c r="R983" s="2"/>
      <c r="S983" s="2"/>
      <c r="T983" s="2"/>
      <c r="U983" s="2"/>
      <c r="V983" s="2"/>
      <c r="W983" s="2"/>
      <c r="X983" s="2"/>
    </row>
    <row r="984" ht="15.75" customHeight="1">
      <c r="R984" s="2"/>
      <c r="S984" s="2"/>
      <c r="T984" s="2"/>
      <c r="U984" s="2"/>
      <c r="V984" s="2"/>
      <c r="W984" s="2"/>
      <c r="X984" s="2"/>
    </row>
    <row r="985" ht="15.75" customHeight="1">
      <c r="R985" s="2"/>
      <c r="S985" s="2"/>
      <c r="T985" s="2"/>
      <c r="U985" s="2"/>
      <c r="V985" s="2"/>
      <c r="W985" s="2"/>
      <c r="X985" s="2"/>
    </row>
    <row r="986" ht="15.75" customHeight="1">
      <c r="R986" s="2"/>
      <c r="S986" s="2"/>
      <c r="T986" s="2"/>
      <c r="U986" s="2"/>
      <c r="V986" s="2"/>
      <c r="W986" s="2"/>
      <c r="X986" s="2"/>
    </row>
    <row r="987" ht="15.75" customHeight="1">
      <c r="R987" s="2"/>
      <c r="S987" s="2"/>
      <c r="T987" s="2"/>
      <c r="U987" s="2"/>
      <c r="V987" s="2"/>
      <c r="W987" s="2"/>
      <c r="X987" s="2"/>
    </row>
    <row r="988" ht="15.75" customHeight="1">
      <c r="R988" s="2"/>
      <c r="S988" s="2"/>
      <c r="T988" s="2"/>
      <c r="U988" s="2"/>
      <c r="V988" s="2"/>
      <c r="W988" s="2"/>
      <c r="X988" s="2"/>
    </row>
    <row r="989" ht="15.75" customHeight="1">
      <c r="R989" s="2"/>
      <c r="S989" s="2"/>
      <c r="T989" s="2"/>
      <c r="U989" s="2"/>
      <c r="V989" s="2"/>
      <c r="W989" s="2"/>
      <c r="X989" s="2"/>
    </row>
    <row r="990" ht="15.75" customHeight="1">
      <c r="R990" s="2"/>
      <c r="S990" s="2"/>
      <c r="T990" s="2"/>
      <c r="U990" s="2"/>
      <c r="V990" s="2"/>
      <c r="W990" s="2"/>
      <c r="X990" s="2"/>
    </row>
    <row r="991" ht="15.75" customHeight="1">
      <c r="R991" s="2"/>
      <c r="S991" s="2"/>
      <c r="T991" s="2"/>
      <c r="U991" s="2"/>
      <c r="V991" s="2"/>
      <c r="W991" s="2"/>
      <c r="X991" s="2"/>
    </row>
    <row r="992" ht="15.75" customHeight="1">
      <c r="R992" s="2"/>
      <c r="S992" s="2"/>
      <c r="T992" s="2"/>
      <c r="U992" s="2"/>
      <c r="V992" s="2"/>
      <c r="W992" s="2"/>
      <c r="X992" s="2"/>
    </row>
    <row r="993" ht="15.75" customHeight="1">
      <c r="R993" s="2"/>
      <c r="S993" s="2"/>
      <c r="T993" s="2"/>
      <c r="U993" s="2"/>
      <c r="V993" s="2"/>
      <c r="W993" s="2"/>
      <c r="X993" s="2"/>
    </row>
    <row r="994" ht="15.75" customHeight="1">
      <c r="R994" s="2"/>
      <c r="S994" s="2"/>
      <c r="T994" s="2"/>
      <c r="U994" s="2"/>
      <c r="V994" s="2"/>
      <c r="W994" s="2"/>
      <c r="X994" s="2"/>
    </row>
    <row r="995" ht="15.75" customHeight="1">
      <c r="R995" s="2"/>
      <c r="S995" s="2"/>
      <c r="T995" s="2"/>
      <c r="U995" s="2"/>
      <c r="V995" s="2"/>
      <c r="W995" s="2"/>
      <c r="X995" s="2"/>
    </row>
    <row r="996" ht="15.75" customHeight="1">
      <c r="R996" s="2"/>
      <c r="S996" s="2"/>
      <c r="T996" s="2"/>
      <c r="U996" s="2"/>
      <c r="V996" s="2"/>
      <c r="W996" s="2"/>
      <c r="X996" s="2"/>
    </row>
    <row r="997" ht="15.75" customHeight="1">
      <c r="R997" s="2"/>
      <c r="S997" s="2"/>
      <c r="T997" s="2"/>
      <c r="U997" s="2"/>
      <c r="V997" s="2"/>
      <c r="W997" s="2"/>
      <c r="X997" s="2"/>
    </row>
    <row r="998" ht="15.75" customHeight="1">
      <c r="R998" s="2"/>
      <c r="S998" s="2"/>
      <c r="T998" s="2"/>
      <c r="U998" s="2"/>
      <c r="V998" s="2"/>
      <c r="W998" s="2"/>
      <c r="X998" s="2"/>
    </row>
    <row r="999" ht="15.75" customHeight="1">
      <c r="R999" s="2"/>
      <c r="S999" s="2"/>
      <c r="T999" s="2"/>
      <c r="U999" s="2"/>
      <c r="V999" s="2"/>
      <c r="W999" s="2"/>
      <c r="X999" s="2"/>
    </row>
    <row r="1000" ht="15.75" customHeight="1">
      <c r="R1000" s="2"/>
      <c r="S1000" s="2"/>
      <c r="T1000" s="2"/>
      <c r="U1000" s="2"/>
      <c r="V1000" s="2"/>
      <c r="W1000" s="2"/>
      <c r="X1000" s="2"/>
    </row>
    <row r="1001" ht="15.75" customHeight="1">
      <c r="R1001" s="2"/>
      <c r="S1001" s="2"/>
      <c r="T1001" s="2"/>
      <c r="U1001" s="2"/>
      <c r="V1001" s="2"/>
      <c r="W1001" s="2"/>
      <c r="X1001" s="2"/>
    </row>
    <row r="1002" ht="15.75" customHeight="1">
      <c r="R1002" s="2"/>
      <c r="S1002" s="2"/>
      <c r="T1002" s="2"/>
      <c r="U1002" s="2"/>
      <c r="V1002" s="2"/>
      <c r="W1002" s="2"/>
      <c r="X1002" s="2"/>
    </row>
    <row r="1003" ht="15.75" customHeight="1">
      <c r="R1003" s="2"/>
      <c r="S1003" s="2"/>
      <c r="T1003" s="2"/>
      <c r="U1003" s="2"/>
      <c r="V1003" s="2"/>
      <c r="W1003" s="2"/>
      <c r="X1003" s="2"/>
    </row>
    <row r="1004" ht="15.75" customHeight="1">
      <c r="R1004" s="2"/>
      <c r="S1004" s="2"/>
      <c r="T1004" s="2"/>
      <c r="U1004" s="2"/>
      <c r="V1004" s="2"/>
      <c r="W1004" s="2"/>
      <c r="X1004" s="2"/>
    </row>
    <row r="1005" ht="15.75" customHeight="1">
      <c r="R1005" s="2"/>
      <c r="S1005" s="2"/>
      <c r="T1005" s="2"/>
      <c r="U1005" s="2"/>
      <c r="V1005" s="2"/>
      <c r="W1005" s="2"/>
      <c r="X1005" s="2"/>
    </row>
    <row r="1006" ht="15.75" customHeight="1">
      <c r="R1006" s="2"/>
      <c r="S1006" s="2"/>
      <c r="T1006" s="2"/>
      <c r="U1006" s="2"/>
      <c r="V1006" s="2"/>
      <c r="W1006" s="2"/>
      <c r="X1006" s="2"/>
    </row>
    <row r="1007" ht="15.75" customHeight="1">
      <c r="R1007" s="2"/>
      <c r="S1007" s="2"/>
      <c r="T1007" s="2"/>
      <c r="U1007" s="2"/>
      <c r="V1007" s="2"/>
      <c r="W1007" s="2"/>
      <c r="X1007" s="2"/>
    </row>
    <row r="1008" ht="15.75" customHeight="1">
      <c r="R1008" s="2"/>
      <c r="S1008" s="2"/>
      <c r="T1008" s="2"/>
      <c r="U1008" s="2"/>
      <c r="V1008" s="2"/>
      <c r="W1008" s="2"/>
      <c r="X1008" s="2"/>
    </row>
    <row r="1009" ht="15.75" customHeight="1">
      <c r="R1009" s="2"/>
      <c r="S1009" s="2"/>
      <c r="T1009" s="2"/>
      <c r="U1009" s="2"/>
      <c r="V1009" s="2"/>
      <c r="W1009" s="2"/>
      <c r="X1009" s="2"/>
    </row>
    <row r="1010" ht="15.75" customHeight="1">
      <c r="R1010" s="2"/>
      <c r="S1010" s="2"/>
      <c r="T1010" s="2"/>
      <c r="U1010" s="2"/>
      <c r="V1010" s="2"/>
      <c r="W1010" s="2"/>
      <c r="X1010" s="2"/>
    </row>
  </sheetData>
  <mergeCells count="46">
    <mergeCell ref="N60:O60"/>
    <mergeCell ref="N70:O70"/>
    <mergeCell ref="M51:N51"/>
    <mergeCell ref="L52:N52"/>
    <mergeCell ref="F59:G59"/>
    <mergeCell ref="N59:O59"/>
    <mergeCell ref="F60:G60"/>
    <mergeCell ref="D63:F63"/>
    <mergeCell ref="L63:N63"/>
    <mergeCell ref="B10:C10"/>
    <mergeCell ref="D10:P10"/>
    <mergeCell ref="D12:F12"/>
    <mergeCell ref="L12:N12"/>
    <mergeCell ref="M19:N19"/>
    <mergeCell ref="M20:N20"/>
    <mergeCell ref="D21:F21"/>
    <mergeCell ref="T24:W25"/>
    <mergeCell ref="W34:W36"/>
    <mergeCell ref="X34:X36"/>
    <mergeCell ref="L21:N21"/>
    <mergeCell ref="N28:O28"/>
    <mergeCell ref="E29:F29"/>
    <mergeCell ref="N29:O29"/>
    <mergeCell ref="E30:F30"/>
    <mergeCell ref="D32:F32"/>
    <mergeCell ref="L32:N32"/>
    <mergeCell ref="F39:G39"/>
    <mergeCell ref="N39:O39"/>
    <mergeCell ref="F40:G40"/>
    <mergeCell ref="N40:O40"/>
    <mergeCell ref="D42:F42"/>
    <mergeCell ref="L42:N42"/>
    <mergeCell ref="S42:X42"/>
    <mergeCell ref="S48:X50"/>
    <mergeCell ref="S51:X57"/>
    <mergeCell ref="S58:X62"/>
    <mergeCell ref="S43:X43"/>
    <mergeCell ref="S44:X45"/>
    <mergeCell ref="S46:X47"/>
    <mergeCell ref="F49:G49"/>
    <mergeCell ref="F50:G50"/>
    <mergeCell ref="M50:N50"/>
    <mergeCell ref="D52:F52"/>
    <mergeCell ref="F71:G71"/>
    <mergeCell ref="N71:O71"/>
    <mergeCell ref="F72:G72"/>
  </mergeCells>
  <conditionalFormatting sqref="U31">
    <cfRule type="cellIs" dxfId="0" priority="1" operator="equal">
      <formula>"400:00:00"</formula>
    </cfRule>
  </conditionalFormatting>
  <conditionalFormatting sqref="U35">
    <cfRule type="cellIs" dxfId="1" priority="2" operator="equal">
      <formula>"1200:00:00.000"</formula>
    </cfRule>
  </conditionalFormatting>
  <conditionalFormatting sqref="U35">
    <cfRule type="cellIs" dxfId="2" priority="3" operator="notEqual">
      <formula>"1200:00:00.000"</formula>
    </cfRule>
  </conditionalFormatting>
  <conditionalFormatting sqref="U33">
    <cfRule type="cellIs" dxfId="1" priority="4" operator="equal">
      <formula>"800:00:00.000"</formula>
    </cfRule>
  </conditionalFormatting>
  <conditionalFormatting sqref="U33">
    <cfRule type="cellIs" dxfId="3" priority="5" operator="notEqual">
      <formula>"800:00:00"</formula>
    </cfRule>
  </conditionalFormatting>
  <printOptions horizontalCentered="1"/>
  <pageMargins bottom="0.5" footer="0.0" header="0.0" left="0.5" right="0.5" top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16" width="7.71"/>
    <col customWidth="1" min="19" max="19" width="5.57"/>
    <col customWidth="1" min="20" max="20" width="27.86"/>
    <col customWidth="1" min="21" max="21" width="22.14"/>
    <col customWidth="1" min="22" max="22" width="25.29"/>
  </cols>
  <sheetData>
    <row r="1">
      <c r="A1" s="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4"/>
      <c r="R10" s="2"/>
      <c r="S10" s="2"/>
      <c r="T10" s="2"/>
      <c r="U10" s="2"/>
      <c r="V10" s="2"/>
      <c r="W10" s="2"/>
      <c r="X10" s="2"/>
      <c r="Y10" s="2"/>
    </row>
    <row r="11">
      <c r="A11" s="2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4"/>
      <c r="R11" s="2"/>
      <c r="S11" s="2"/>
      <c r="T11" s="2"/>
      <c r="U11" s="2"/>
      <c r="V11" s="2"/>
      <c r="W11" s="2"/>
      <c r="X11" s="2"/>
      <c r="Y11" s="2"/>
    </row>
    <row r="12">
      <c r="A12" s="2"/>
      <c r="B12" s="93" t="s">
        <v>69</v>
      </c>
      <c r="Q12" s="94"/>
      <c r="R12" s="2"/>
      <c r="S12" s="2"/>
      <c r="T12" s="2"/>
      <c r="U12" s="2"/>
      <c r="V12" s="2"/>
      <c r="W12" s="2"/>
      <c r="X12" s="2"/>
      <c r="Y12" s="2"/>
    </row>
    <row r="13">
      <c r="A13" s="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95"/>
      <c r="C14" s="96"/>
      <c r="D14" s="97" t="s">
        <v>48</v>
      </c>
      <c r="E14" s="8"/>
      <c r="F14" s="8"/>
      <c r="G14" s="96"/>
      <c r="H14" s="98"/>
      <c r="I14" s="2"/>
      <c r="J14" s="99"/>
      <c r="K14" s="96"/>
      <c r="L14" s="97" t="s">
        <v>70</v>
      </c>
      <c r="M14" s="8"/>
      <c r="N14" s="8"/>
      <c r="O14" s="96"/>
      <c r="P14" s="100"/>
      <c r="Q14" s="2"/>
      <c r="R14" s="12"/>
      <c r="S14" s="101" t="s">
        <v>2</v>
      </c>
      <c r="T14" s="26"/>
      <c r="U14" s="26"/>
      <c r="V14" s="26"/>
      <c r="W14" s="26"/>
      <c r="X14" s="26"/>
      <c r="Y14" s="2"/>
    </row>
    <row r="15">
      <c r="A15" s="2"/>
      <c r="B15" s="102" t="s">
        <v>3</v>
      </c>
      <c r="C15" s="103" t="s">
        <v>4</v>
      </c>
      <c r="D15" s="103" t="s">
        <v>5</v>
      </c>
      <c r="E15" s="103" t="s">
        <v>6</v>
      </c>
      <c r="F15" s="103" t="s">
        <v>7</v>
      </c>
      <c r="G15" s="103" t="s">
        <v>8</v>
      </c>
      <c r="H15" s="104" t="s">
        <v>9</v>
      </c>
      <c r="I15" s="2"/>
      <c r="J15" s="102" t="s">
        <v>3</v>
      </c>
      <c r="K15" s="103" t="s">
        <v>4</v>
      </c>
      <c r="L15" s="103" t="s">
        <v>5</v>
      </c>
      <c r="M15" s="103" t="s">
        <v>6</v>
      </c>
      <c r="N15" s="103" t="s">
        <v>7</v>
      </c>
      <c r="O15" s="103" t="s">
        <v>8</v>
      </c>
      <c r="P15" s="104" t="s">
        <v>9</v>
      </c>
      <c r="Q15" s="2"/>
      <c r="R15" s="12"/>
      <c r="S15" s="26"/>
      <c r="T15" s="26"/>
      <c r="U15" s="26"/>
      <c r="V15" s="26"/>
      <c r="W15" s="26"/>
      <c r="X15" s="26"/>
      <c r="Y15" s="2"/>
    </row>
    <row r="16">
      <c r="A16" s="2"/>
      <c r="B16" s="105"/>
      <c r="C16" s="105"/>
      <c r="D16" s="105"/>
      <c r="E16" s="106">
        <v>45658.0</v>
      </c>
      <c r="F16" s="107">
        <v>45659.0</v>
      </c>
      <c r="G16" s="107">
        <v>45660.0</v>
      </c>
      <c r="H16" s="106">
        <v>45661.0</v>
      </c>
      <c r="I16" s="2"/>
      <c r="J16" s="108"/>
      <c r="K16" s="108"/>
      <c r="L16" s="108"/>
      <c r="M16" s="108"/>
      <c r="N16" s="108"/>
      <c r="O16" s="108"/>
      <c r="P16" s="109">
        <v>45689.0</v>
      </c>
      <c r="Q16" s="2"/>
      <c r="R16" s="12"/>
      <c r="S16" s="25"/>
      <c r="T16" s="26" t="s">
        <v>10</v>
      </c>
      <c r="U16" s="26"/>
      <c r="V16" s="26"/>
      <c r="W16" s="26"/>
      <c r="X16" s="26"/>
      <c r="Y16" s="2"/>
    </row>
    <row r="17">
      <c r="A17" s="2"/>
      <c r="B17" s="106">
        <v>45662.0</v>
      </c>
      <c r="C17" s="107">
        <v>45663.0</v>
      </c>
      <c r="D17" s="107">
        <v>45664.0</v>
      </c>
      <c r="E17" s="107">
        <v>45665.0</v>
      </c>
      <c r="F17" s="107">
        <v>45666.0</v>
      </c>
      <c r="G17" s="107">
        <v>45667.0</v>
      </c>
      <c r="H17" s="106">
        <v>45668.0</v>
      </c>
      <c r="I17" s="2"/>
      <c r="J17" s="109">
        <v>45690.0</v>
      </c>
      <c r="K17" s="110">
        <v>45691.0</v>
      </c>
      <c r="L17" s="111">
        <v>45692.0</v>
      </c>
      <c r="M17" s="111">
        <v>45693.0</v>
      </c>
      <c r="N17" s="111">
        <v>45694.0</v>
      </c>
      <c r="O17" s="112">
        <v>45695.0</v>
      </c>
      <c r="P17" s="109">
        <v>45696.0</v>
      </c>
      <c r="Q17" s="2"/>
      <c r="R17" s="12"/>
      <c r="S17" s="26"/>
      <c r="T17" s="26"/>
      <c r="U17" s="26"/>
      <c r="V17" s="26"/>
      <c r="W17" s="26"/>
      <c r="X17" s="26"/>
      <c r="Y17" s="2"/>
    </row>
    <row r="18">
      <c r="A18" s="2"/>
      <c r="B18" s="106">
        <v>45669.0</v>
      </c>
      <c r="C18" s="107">
        <v>45670.0</v>
      </c>
      <c r="D18" s="107">
        <v>45671.0</v>
      </c>
      <c r="E18" s="107">
        <v>45672.0</v>
      </c>
      <c r="F18" s="107">
        <v>45673.0</v>
      </c>
      <c r="G18" s="107">
        <v>45674.0</v>
      </c>
      <c r="H18" s="106">
        <v>45675.0</v>
      </c>
      <c r="I18" s="2"/>
      <c r="J18" s="109">
        <v>45697.0</v>
      </c>
      <c r="K18" s="111">
        <v>45698.0</v>
      </c>
      <c r="L18" s="111">
        <v>45699.0</v>
      </c>
      <c r="M18" s="111">
        <v>45700.0</v>
      </c>
      <c r="N18" s="111">
        <v>45701.0</v>
      </c>
      <c r="O18" s="112">
        <v>45702.0</v>
      </c>
      <c r="P18" s="109">
        <v>45703.0</v>
      </c>
      <c r="Q18" s="2"/>
      <c r="R18" s="12"/>
      <c r="S18" s="28"/>
      <c r="T18" s="26" t="s">
        <v>13</v>
      </c>
      <c r="U18" s="26"/>
      <c r="V18" s="26"/>
      <c r="W18" s="26"/>
      <c r="X18" s="26"/>
      <c r="Y18" s="2"/>
    </row>
    <row r="19">
      <c r="A19" s="2"/>
      <c r="B19" s="106">
        <v>45676.0</v>
      </c>
      <c r="C19" s="107">
        <v>45677.0</v>
      </c>
      <c r="D19" s="107">
        <v>45678.0</v>
      </c>
      <c r="E19" s="107">
        <v>45679.0</v>
      </c>
      <c r="F19" s="107">
        <v>45680.0</v>
      </c>
      <c r="G19" s="107">
        <v>45681.0</v>
      </c>
      <c r="H19" s="106">
        <v>45682.0</v>
      </c>
      <c r="I19" s="2"/>
      <c r="J19" s="109">
        <v>45704.0</v>
      </c>
      <c r="K19" s="111">
        <v>45705.0</v>
      </c>
      <c r="L19" s="111">
        <v>45706.0</v>
      </c>
      <c r="M19" s="111">
        <v>45707.0</v>
      </c>
      <c r="N19" s="111">
        <v>45708.0</v>
      </c>
      <c r="O19" s="112">
        <v>45709.0</v>
      </c>
      <c r="P19" s="109">
        <v>45710.0</v>
      </c>
      <c r="Q19" s="2"/>
      <c r="R19" s="12"/>
      <c r="S19" s="26"/>
      <c r="T19" s="26"/>
      <c r="U19" s="26"/>
      <c r="V19" s="26"/>
      <c r="W19" s="26"/>
      <c r="X19" s="26"/>
      <c r="Y19" s="2"/>
    </row>
    <row r="20">
      <c r="A20" s="2"/>
      <c r="B20" s="109">
        <v>45683.0</v>
      </c>
      <c r="C20" s="113">
        <v>45684.0</v>
      </c>
      <c r="D20" s="113">
        <v>45685.0</v>
      </c>
      <c r="E20" s="113">
        <v>45686.0</v>
      </c>
      <c r="F20" s="113">
        <v>45687.0</v>
      </c>
      <c r="G20" s="113">
        <v>45688.0</v>
      </c>
      <c r="H20" s="114"/>
      <c r="I20" s="2"/>
      <c r="J20" s="109">
        <v>45711.0</v>
      </c>
      <c r="K20" s="111">
        <v>45712.0</v>
      </c>
      <c r="L20" s="111">
        <v>45713.0</v>
      </c>
      <c r="M20" s="111">
        <v>45714.0</v>
      </c>
      <c r="N20" s="111">
        <v>45715.0</v>
      </c>
      <c r="O20" s="112">
        <v>45716.0</v>
      </c>
      <c r="P20" s="108"/>
      <c r="Q20" s="2"/>
      <c r="R20" s="12"/>
      <c r="S20" s="115"/>
      <c r="T20" s="26" t="s">
        <v>15</v>
      </c>
      <c r="U20" s="26"/>
      <c r="V20" s="26"/>
      <c r="W20" s="26"/>
      <c r="X20" s="26"/>
      <c r="Y20" s="2"/>
    </row>
    <row r="21">
      <c r="A21" s="2"/>
      <c r="B21" s="116"/>
      <c r="C21" s="116"/>
      <c r="D21" s="116"/>
      <c r="E21" s="117"/>
      <c r="F21" s="117"/>
      <c r="G21" s="117"/>
      <c r="H21" s="117"/>
      <c r="I21" s="2"/>
      <c r="J21" s="116"/>
      <c r="K21" s="116"/>
      <c r="L21" s="116"/>
      <c r="M21" s="118" t="s">
        <v>17</v>
      </c>
      <c r="O21" s="119">
        <f>("04:10")*16+"5:00"*4</f>
        <v>3.611111111</v>
      </c>
      <c r="P21" s="117"/>
      <c r="Q21" s="2"/>
      <c r="R21" s="12"/>
      <c r="S21" s="26"/>
      <c r="T21" s="26"/>
      <c r="U21" s="26"/>
      <c r="V21" s="26"/>
      <c r="W21" s="26"/>
      <c r="X21" s="26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20" t="s">
        <v>18</v>
      </c>
      <c r="N22" s="38"/>
      <c r="O22" s="121">
        <v>0.0</v>
      </c>
      <c r="P22" s="2"/>
      <c r="Q22" s="2"/>
      <c r="R22" s="12"/>
      <c r="S22" s="122"/>
      <c r="T22" s="123" t="s">
        <v>19</v>
      </c>
      <c r="U22" s="26"/>
      <c r="V22" s="26"/>
      <c r="W22" s="26"/>
      <c r="X22" s="26"/>
      <c r="Y22" s="2"/>
    </row>
    <row r="23">
      <c r="A23" s="2"/>
      <c r="B23" s="124"/>
      <c r="C23" s="125"/>
      <c r="D23" s="126" t="s">
        <v>71</v>
      </c>
      <c r="E23" s="45"/>
      <c r="F23" s="45"/>
      <c r="G23" s="125"/>
      <c r="H23" s="127"/>
      <c r="I23" s="2"/>
      <c r="J23" s="124"/>
      <c r="K23" s="125"/>
      <c r="L23" s="126" t="s">
        <v>72</v>
      </c>
      <c r="M23" s="45"/>
      <c r="N23" s="45"/>
      <c r="O23" s="125"/>
      <c r="P23" s="127"/>
      <c r="Q23" s="2"/>
      <c r="R23" s="12"/>
      <c r="S23" s="26"/>
      <c r="T23" s="26"/>
      <c r="U23" s="26"/>
      <c r="V23" s="26"/>
      <c r="W23" s="128" t="s">
        <v>27</v>
      </c>
      <c r="X23" s="129">
        <f>SUM(O21+G31+P30+H41+P41+H51+O52+H61+P61+H73+P72)</f>
        <v>16.66666667</v>
      </c>
      <c r="Y23" s="2"/>
    </row>
    <row r="24">
      <c r="A24" s="2"/>
      <c r="B24" s="102" t="s">
        <v>3</v>
      </c>
      <c r="C24" s="103" t="s">
        <v>4</v>
      </c>
      <c r="D24" s="103" t="s">
        <v>5</v>
      </c>
      <c r="E24" s="103" t="s">
        <v>6</v>
      </c>
      <c r="F24" s="103" t="s">
        <v>7</v>
      </c>
      <c r="G24" s="103" t="s">
        <v>8</v>
      </c>
      <c r="H24" s="104" t="s">
        <v>9</v>
      </c>
      <c r="I24" s="2"/>
      <c r="J24" s="102" t="s">
        <v>3</v>
      </c>
      <c r="K24" s="103" t="s">
        <v>4</v>
      </c>
      <c r="L24" s="103" t="s">
        <v>5</v>
      </c>
      <c r="M24" s="103" t="s">
        <v>6</v>
      </c>
      <c r="N24" s="103" t="s">
        <v>7</v>
      </c>
      <c r="O24" s="103" t="s">
        <v>8</v>
      </c>
      <c r="P24" s="104" t="s">
        <v>9</v>
      </c>
      <c r="Q24" s="2"/>
      <c r="R24" s="12"/>
      <c r="S24" s="59"/>
      <c r="T24" s="130" t="s">
        <v>11</v>
      </c>
      <c r="U24" s="26"/>
      <c r="V24" s="26"/>
      <c r="W24" s="26"/>
      <c r="X24" s="131"/>
      <c r="Y24" s="2"/>
    </row>
    <row r="25">
      <c r="A25" s="2"/>
      <c r="B25" s="108"/>
      <c r="C25" s="132"/>
      <c r="D25" s="132"/>
      <c r="E25" s="132"/>
      <c r="F25" s="133"/>
      <c r="G25" s="133"/>
      <c r="H25" s="109">
        <v>45717.0</v>
      </c>
      <c r="I25" s="2"/>
      <c r="J25" s="108"/>
      <c r="K25" s="108"/>
      <c r="L25" s="134">
        <v>45748.0</v>
      </c>
      <c r="M25" s="135">
        <v>45749.0</v>
      </c>
      <c r="N25" s="134">
        <v>45750.0</v>
      </c>
      <c r="O25" s="135">
        <v>45751.0</v>
      </c>
      <c r="P25" s="109">
        <v>45752.0</v>
      </c>
      <c r="Q25" s="2"/>
      <c r="R25" s="12"/>
      <c r="S25" s="2"/>
      <c r="T25" s="2"/>
      <c r="U25" s="26"/>
      <c r="V25" s="26"/>
      <c r="W25" s="128" t="s">
        <v>30</v>
      </c>
      <c r="X25" s="129">
        <f>SUM(G32+P31+H42+P42+H52+O53+H62+P62+H74+P73)</f>
        <v>16.66666667</v>
      </c>
      <c r="Y25" s="2"/>
    </row>
    <row r="26">
      <c r="A26" s="2"/>
      <c r="B26" s="109">
        <v>45718.0</v>
      </c>
      <c r="C26" s="109">
        <v>45719.0</v>
      </c>
      <c r="D26" s="109">
        <v>45720.0</v>
      </c>
      <c r="E26" s="109">
        <v>45721.0</v>
      </c>
      <c r="F26" s="111">
        <v>45722.0</v>
      </c>
      <c r="G26" s="112">
        <v>45723.0</v>
      </c>
      <c r="H26" s="109">
        <v>45724.0</v>
      </c>
      <c r="I26" s="2"/>
      <c r="J26" s="109">
        <v>45753.0</v>
      </c>
      <c r="K26" s="134">
        <v>45754.0</v>
      </c>
      <c r="L26" s="134">
        <v>45755.0</v>
      </c>
      <c r="M26" s="135">
        <v>45756.0</v>
      </c>
      <c r="N26" s="134">
        <v>45757.0</v>
      </c>
      <c r="O26" s="135">
        <v>45758.0</v>
      </c>
      <c r="P26" s="109">
        <v>45759.0</v>
      </c>
      <c r="Q26" s="2"/>
      <c r="R26" s="12"/>
      <c r="S26" s="112"/>
      <c r="T26" s="130" t="s">
        <v>73</v>
      </c>
      <c r="U26" s="26"/>
      <c r="V26" s="26"/>
      <c r="W26" s="26"/>
      <c r="X26" s="131"/>
      <c r="Y26" s="2"/>
    </row>
    <row r="27">
      <c r="A27" s="2"/>
      <c r="B27" s="109">
        <v>45725.0</v>
      </c>
      <c r="C27" s="111">
        <v>45726.0</v>
      </c>
      <c r="D27" s="111">
        <v>45727.0</v>
      </c>
      <c r="E27" s="111">
        <v>45728.0</v>
      </c>
      <c r="F27" s="111">
        <v>45729.0</v>
      </c>
      <c r="G27" s="112">
        <v>45730.0</v>
      </c>
      <c r="H27" s="109">
        <v>45731.0</v>
      </c>
      <c r="I27" s="2"/>
      <c r="J27" s="109">
        <v>45760.0</v>
      </c>
      <c r="K27" s="134">
        <v>45761.0</v>
      </c>
      <c r="L27" s="134">
        <v>45762.0</v>
      </c>
      <c r="M27" s="135">
        <v>45763.0</v>
      </c>
      <c r="N27" s="134">
        <v>45764.0</v>
      </c>
      <c r="O27" s="109">
        <v>45765.0</v>
      </c>
      <c r="P27" s="109">
        <v>45766.0</v>
      </c>
      <c r="Q27" s="2"/>
      <c r="R27" s="12"/>
      <c r="U27" s="26"/>
      <c r="V27" s="26"/>
      <c r="W27" s="68" t="s">
        <v>31</v>
      </c>
      <c r="X27" s="129">
        <f>SUM(X23+X25)</f>
        <v>33.33333333</v>
      </c>
      <c r="Y27" s="2"/>
    </row>
    <row r="28">
      <c r="A28" s="2"/>
      <c r="B28" s="109">
        <v>45732.0</v>
      </c>
      <c r="C28" s="134">
        <v>45733.0</v>
      </c>
      <c r="D28" s="134">
        <v>45734.0</v>
      </c>
      <c r="E28" s="135">
        <v>45735.0</v>
      </c>
      <c r="F28" s="134">
        <v>45736.0</v>
      </c>
      <c r="G28" s="135">
        <v>45737.0</v>
      </c>
      <c r="H28" s="109">
        <v>45738.0</v>
      </c>
      <c r="I28" s="2"/>
      <c r="J28" s="109">
        <v>45767.0</v>
      </c>
      <c r="K28" s="109">
        <v>45768.0</v>
      </c>
      <c r="L28" s="134">
        <v>45769.0</v>
      </c>
      <c r="M28" s="135">
        <v>45770.0</v>
      </c>
      <c r="N28" s="134">
        <v>45771.0</v>
      </c>
      <c r="O28" s="135">
        <v>45772.0</v>
      </c>
      <c r="P28" s="109">
        <v>45773.0</v>
      </c>
      <c r="Q28" s="2"/>
      <c r="R28" s="2"/>
      <c r="S28" s="136"/>
      <c r="T28" s="26" t="s">
        <v>16</v>
      </c>
      <c r="U28" s="26"/>
      <c r="V28" s="26"/>
      <c r="W28" s="26"/>
      <c r="X28" s="26"/>
      <c r="Y28" s="2"/>
    </row>
    <row r="29">
      <c r="A29" s="2"/>
      <c r="B29" s="109">
        <v>45739.0</v>
      </c>
      <c r="C29" s="134">
        <v>45740.0</v>
      </c>
      <c r="D29" s="134">
        <v>45741.0</v>
      </c>
      <c r="E29" s="135">
        <v>45742.0</v>
      </c>
      <c r="F29" s="134">
        <v>45743.0</v>
      </c>
      <c r="G29" s="135">
        <v>45744.0</v>
      </c>
      <c r="H29" s="109">
        <v>45745.0</v>
      </c>
      <c r="I29" s="2"/>
      <c r="J29" s="109">
        <v>45774.0</v>
      </c>
      <c r="K29" s="134">
        <v>45775.0</v>
      </c>
      <c r="L29" s="134">
        <v>45776.0</v>
      </c>
      <c r="M29" s="135">
        <v>45777.0</v>
      </c>
      <c r="N29" s="137"/>
      <c r="O29" s="137"/>
      <c r="P29" s="138"/>
      <c r="Q29" s="2"/>
      <c r="R29" s="2"/>
      <c r="S29" s="2"/>
      <c r="T29" s="2"/>
      <c r="U29" s="26"/>
      <c r="V29" s="26"/>
      <c r="W29" s="26"/>
      <c r="X29" s="26"/>
      <c r="Y29" s="2"/>
    </row>
    <row r="30">
      <c r="A30" s="2"/>
      <c r="B30" s="109">
        <v>45746.0</v>
      </c>
      <c r="C30" s="134">
        <v>45747.0</v>
      </c>
      <c r="D30" s="137"/>
      <c r="E30" s="137"/>
      <c r="F30" s="137"/>
      <c r="G30" s="137"/>
      <c r="H30" s="138"/>
      <c r="I30" s="2"/>
      <c r="J30" s="2"/>
      <c r="K30" s="2"/>
      <c r="L30" s="2"/>
      <c r="M30" s="2"/>
      <c r="N30" s="118" t="s">
        <v>17</v>
      </c>
      <c r="P30" s="119">
        <f>("01:40")*12+("02:30")*8</f>
        <v>1.666666667</v>
      </c>
      <c r="Q30" s="2"/>
      <c r="R30" s="2"/>
      <c r="S30" s="55"/>
      <c r="T30" s="2" t="s">
        <v>74</v>
      </c>
      <c r="U30" s="26"/>
      <c r="V30" s="26"/>
      <c r="W30" s="26"/>
      <c r="X30" s="61"/>
      <c r="Y30" s="2"/>
    </row>
    <row r="31">
      <c r="A31" s="2"/>
      <c r="B31" s="2"/>
      <c r="C31" s="2"/>
      <c r="D31" s="2"/>
      <c r="E31" s="118" t="s">
        <v>17</v>
      </c>
      <c r="G31" s="119">
        <f>("01:40")*5+"5:00"*2+("02:30")*4+"4:10"*7</f>
        <v>2.395833333</v>
      </c>
      <c r="H31" s="2"/>
      <c r="I31" s="2"/>
      <c r="J31" s="2"/>
      <c r="K31" s="2"/>
      <c r="L31" s="2"/>
      <c r="M31" s="2"/>
      <c r="N31" s="120" t="s">
        <v>18</v>
      </c>
      <c r="O31" s="38"/>
      <c r="P31" s="139">
        <f>"04:00"*12</f>
        <v>2</v>
      </c>
      <c r="Q31" s="2"/>
      <c r="R31" s="2"/>
      <c r="S31" s="26"/>
      <c r="T31" s="26"/>
      <c r="U31" s="26"/>
      <c r="V31" s="26"/>
      <c r="W31" s="26"/>
      <c r="X31" s="61"/>
      <c r="Y31" s="2"/>
    </row>
    <row r="32">
      <c r="A32" s="2"/>
      <c r="B32" s="2"/>
      <c r="C32" s="2"/>
      <c r="D32" s="2"/>
      <c r="E32" s="120" t="s">
        <v>18</v>
      </c>
      <c r="F32" s="38"/>
      <c r="G32" s="139">
        <f>"04:00"*7</f>
        <v>1.166666667</v>
      </c>
      <c r="H32" s="2"/>
      <c r="I32" s="2"/>
      <c r="J32" s="116"/>
      <c r="K32" s="117"/>
      <c r="L32" s="117"/>
      <c r="M32" s="117"/>
      <c r="N32" s="2"/>
      <c r="O32" s="2"/>
      <c r="P32" s="2"/>
      <c r="Q32" s="2"/>
      <c r="R32" s="2"/>
      <c r="S32" s="140"/>
      <c r="T32" s="130" t="s">
        <v>75</v>
      </c>
      <c r="U32" s="26"/>
      <c r="V32" s="26"/>
      <c r="W32" s="26"/>
      <c r="X32" s="26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6"/>
      <c r="V33" s="26"/>
      <c r="W33" s="26"/>
      <c r="X33" s="131"/>
      <c r="Y33" s="2"/>
    </row>
    <row r="34">
      <c r="A34" s="2"/>
      <c r="B34" s="124"/>
      <c r="C34" s="125"/>
      <c r="D34" s="141" t="s">
        <v>76</v>
      </c>
      <c r="E34" s="65"/>
      <c r="F34" s="65"/>
      <c r="G34" s="125"/>
      <c r="H34" s="127"/>
      <c r="I34" s="2"/>
      <c r="J34" s="124"/>
      <c r="K34" s="125"/>
      <c r="L34" s="141" t="s">
        <v>77</v>
      </c>
      <c r="M34" s="65"/>
      <c r="N34" s="65"/>
      <c r="O34" s="125"/>
      <c r="P34" s="127"/>
      <c r="Q34" s="2"/>
      <c r="R34" s="2"/>
      <c r="S34" s="142"/>
      <c r="T34" s="130" t="s">
        <v>78</v>
      </c>
      <c r="U34" s="26"/>
      <c r="V34" s="26"/>
      <c r="W34" s="26"/>
      <c r="X34" s="131"/>
      <c r="Y34" s="2"/>
    </row>
    <row r="35">
      <c r="A35" s="2"/>
      <c r="B35" s="102" t="s">
        <v>3</v>
      </c>
      <c r="C35" s="103" t="s">
        <v>4</v>
      </c>
      <c r="D35" s="103" t="s">
        <v>5</v>
      </c>
      <c r="E35" s="103" t="s">
        <v>6</v>
      </c>
      <c r="F35" s="103" t="s">
        <v>7</v>
      </c>
      <c r="G35" s="103" t="s">
        <v>8</v>
      </c>
      <c r="H35" s="104" t="s">
        <v>9</v>
      </c>
      <c r="I35" s="2"/>
      <c r="J35" s="102" t="s">
        <v>3</v>
      </c>
      <c r="K35" s="103" t="s">
        <v>4</v>
      </c>
      <c r="L35" s="103" t="s">
        <v>5</v>
      </c>
      <c r="M35" s="103" t="s">
        <v>6</v>
      </c>
      <c r="N35" s="103" t="s">
        <v>7</v>
      </c>
      <c r="O35" s="103" t="s">
        <v>8</v>
      </c>
      <c r="P35" s="104" t="s">
        <v>9</v>
      </c>
      <c r="Q35" s="2"/>
      <c r="R35" s="2"/>
      <c r="S35" s="2"/>
      <c r="T35" s="2"/>
      <c r="U35" s="26"/>
      <c r="V35" s="26"/>
      <c r="W35" s="26"/>
      <c r="X35" s="26"/>
      <c r="Y35" s="143"/>
    </row>
    <row r="36">
      <c r="A36" s="2"/>
      <c r="B36" s="108"/>
      <c r="C36" s="132"/>
      <c r="D36" s="132"/>
      <c r="E36" s="132"/>
      <c r="F36" s="109">
        <v>45778.0</v>
      </c>
      <c r="G36" s="135">
        <v>45779.0</v>
      </c>
      <c r="H36" s="109">
        <v>45780.0</v>
      </c>
      <c r="I36" s="2"/>
      <c r="J36" s="109">
        <v>45809.0</v>
      </c>
      <c r="K36" s="134">
        <v>45810.0</v>
      </c>
      <c r="L36" s="134">
        <v>45811.0</v>
      </c>
      <c r="M36" s="135">
        <v>45812.0</v>
      </c>
      <c r="N36" s="134">
        <v>45813.0</v>
      </c>
      <c r="O36" s="135">
        <v>45814.0</v>
      </c>
      <c r="P36" s="109">
        <v>45815.0</v>
      </c>
      <c r="Q36" s="2"/>
      <c r="R36" s="2"/>
      <c r="S36" s="116"/>
      <c r="U36" s="2"/>
      <c r="V36" s="2"/>
      <c r="W36" s="144"/>
      <c r="X36" s="144"/>
      <c r="Y36" s="145"/>
    </row>
    <row r="37">
      <c r="A37" s="2"/>
      <c r="B37" s="109">
        <v>45781.0</v>
      </c>
      <c r="C37" s="134">
        <v>45782.0</v>
      </c>
      <c r="D37" s="134">
        <v>45783.0</v>
      </c>
      <c r="E37" s="135">
        <v>45784.0</v>
      </c>
      <c r="F37" s="134">
        <v>45785.0</v>
      </c>
      <c r="G37" s="135">
        <v>45786.0</v>
      </c>
      <c r="H37" s="109">
        <v>45787.0</v>
      </c>
      <c r="I37" s="2"/>
      <c r="J37" s="109">
        <v>45816.0</v>
      </c>
      <c r="K37" s="134">
        <v>45817.0</v>
      </c>
      <c r="L37" s="134">
        <v>45818.0</v>
      </c>
      <c r="M37" s="135">
        <v>45819.0</v>
      </c>
      <c r="N37" s="134">
        <v>45820.0</v>
      </c>
      <c r="O37" s="135">
        <v>45821.0</v>
      </c>
      <c r="P37" s="109">
        <v>45822.0</v>
      </c>
      <c r="Q37" s="2"/>
      <c r="R37" s="2"/>
      <c r="S37" s="146" t="s">
        <v>79</v>
      </c>
      <c r="T37" s="2"/>
      <c r="U37" s="2"/>
      <c r="V37" s="2"/>
      <c r="Y37" s="117"/>
    </row>
    <row r="38">
      <c r="A38" s="2"/>
      <c r="B38" s="109">
        <v>45788.0</v>
      </c>
      <c r="C38" s="134">
        <v>45789.0</v>
      </c>
      <c r="D38" s="134">
        <v>45790.0</v>
      </c>
      <c r="E38" s="135">
        <v>45791.0</v>
      </c>
      <c r="F38" s="134">
        <v>45792.0</v>
      </c>
      <c r="G38" s="135">
        <v>45793.0</v>
      </c>
      <c r="H38" s="109">
        <v>45794.0</v>
      </c>
      <c r="I38" s="2"/>
      <c r="J38" s="109">
        <v>45823.0</v>
      </c>
      <c r="K38" s="134">
        <v>45824.0</v>
      </c>
      <c r="L38" s="134">
        <v>45825.0</v>
      </c>
      <c r="M38" s="135">
        <v>45826.0</v>
      </c>
      <c r="N38" s="134">
        <v>45827.0</v>
      </c>
      <c r="O38" s="135">
        <v>45828.0</v>
      </c>
      <c r="P38" s="109">
        <v>45829.0</v>
      </c>
      <c r="Q38" s="2"/>
      <c r="R38" s="2"/>
      <c r="S38" s="53" t="s">
        <v>80</v>
      </c>
      <c r="T38" s="2"/>
      <c r="U38" s="2"/>
      <c r="V38" s="2"/>
      <c r="Y38" s="116"/>
    </row>
    <row r="39">
      <c r="A39" s="2"/>
      <c r="B39" s="109">
        <v>45795.0</v>
      </c>
      <c r="C39" s="134">
        <v>45796.0</v>
      </c>
      <c r="D39" s="134">
        <v>45797.0</v>
      </c>
      <c r="E39" s="135">
        <v>45798.0</v>
      </c>
      <c r="F39" s="134">
        <v>45799.0</v>
      </c>
      <c r="G39" s="135">
        <v>45800.0</v>
      </c>
      <c r="H39" s="109">
        <v>45801.0</v>
      </c>
      <c r="I39" s="2"/>
      <c r="J39" s="109">
        <v>45830.0</v>
      </c>
      <c r="K39" s="134">
        <v>45831.0</v>
      </c>
      <c r="L39" s="109">
        <v>45832.0</v>
      </c>
      <c r="M39" s="135">
        <v>45833.0</v>
      </c>
      <c r="N39" s="134">
        <v>45834.0</v>
      </c>
      <c r="O39" s="135">
        <v>45835.0</v>
      </c>
      <c r="P39" s="109">
        <v>45836.0</v>
      </c>
      <c r="Q39" s="2"/>
      <c r="R39" s="2"/>
      <c r="S39" s="2" t="s">
        <v>81</v>
      </c>
      <c r="T39" s="2"/>
      <c r="U39" s="2"/>
      <c r="V39" s="2"/>
      <c r="W39" s="2"/>
      <c r="X39" s="2"/>
      <c r="Y39" s="116"/>
    </row>
    <row r="40">
      <c r="A40" s="2"/>
      <c r="B40" s="109">
        <v>45802.0</v>
      </c>
      <c r="C40" s="134">
        <v>45803.0</v>
      </c>
      <c r="D40" s="134">
        <v>45804.0</v>
      </c>
      <c r="E40" s="135">
        <v>45805.0</v>
      </c>
      <c r="F40" s="134">
        <v>45806.0</v>
      </c>
      <c r="G40" s="135">
        <v>45807.0</v>
      </c>
      <c r="H40" s="109">
        <v>45808.0</v>
      </c>
      <c r="I40" s="2"/>
      <c r="J40" s="109">
        <v>45837.0</v>
      </c>
      <c r="K40" s="134">
        <v>45838.0</v>
      </c>
      <c r="L40" s="147"/>
      <c r="M40" s="147"/>
      <c r="N40" s="147"/>
      <c r="O40" s="147"/>
      <c r="P40" s="147"/>
      <c r="Q40" s="2"/>
      <c r="R40" s="2"/>
      <c r="S40" s="53" t="s">
        <v>82</v>
      </c>
      <c r="T40" s="2"/>
      <c r="U40" s="2"/>
      <c r="V40" s="2"/>
      <c r="W40" s="2"/>
      <c r="X40" s="2"/>
      <c r="Y40" s="116"/>
    </row>
    <row r="41">
      <c r="A41" s="2"/>
      <c r="B41" s="116"/>
      <c r="C41" s="116"/>
      <c r="D41" s="116"/>
      <c r="E41" s="116"/>
      <c r="F41" s="118" t="s">
        <v>17</v>
      </c>
      <c r="H41" s="119">
        <f>("01:40")*12+("02:30")*9</f>
        <v>1.770833333</v>
      </c>
      <c r="I41" s="2"/>
      <c r="J41" s="2"/>
      <c r="K41" s="2"/>
      <c r="L41" s="2"/>
      <c r="M41" s="2"/>
      <c r="N41" s="118" t="s">
        <v>17</v>
      </c>
      <c r="P41" s="119">
        <f>("01:40")*13+("02:30")*7</f>
        <v>1.631944444</v>
      </c>
      <c r="Q41" s="2"/>
      <c r="R41" s="2"/>
      <c r="S41" s="53" t="s">
        <v>83</v>
      </c>
      <c r="T41" s="2"/>
      <c r="U41" s="2"/>
      <c r="V41" s="2"/>
      <c r="W41" s="2"/>
      <c r="X41" s="2"/>
      <c r="Y41" s="116"/>
    </row>
    <row r="42">
      <c r="A42" s="2"/>
      <c r="B42" s="116"/>
      <c r="C42" s="116"/>
      <c r="D42" s="116"/>
      <c r="E42" s="116"/>
      <c r="F42" s="120" t="s">
        <v>18</v>
      </c>
      <c r="G42" s="38"/>
      <c r="H42" s="139">
        <f>"04:00"*12</f>
        <v>2</v>
      </c>
      <c r="I42" s="2"/>
      <c r="J42" s="116"/>
      <c r="K42" s="116"/>
      <c r="L42" s="116"/>
      <c r="M42" s="116"/>
      <c r="N42" s="120" t="s">
        <v>18</v>
      </c>
      <c r="O42" s="38"/>
      <c r="P42" s="139">
        <f>"04:00"*13</f>
        <v>2.166666667</v>
      </c>
      <c r="Q42" s="2"/>
      <c r="R42" s="2"/>
      <c r="S42" s="53" t="s">
        <v>84</v>
      </c>
      <c r="T42" s="2"/>
      <c r="U42" s="2"/>
      <c r="V42" s="2"/>
      <c r="W42" s="2"/>
      <c r="X42" s="2"/>
      <c r="Y42" s="116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116"/>
    </row>
    <row r="44">
      <c r="A44" s="2"/>
      <c r="B44" s="124"/>
      <c r="C44" s="125"/>
      <c r="D44" s="141" t="s">
        <v>85</v>
      </c>
      <c r="E44" s="65"/>
      <c r="F44" s="65"/>
      <c r="G44" s="125"/>
      <c r="H44" s="127"/>
      <c r="I44" s="2"/>
      <c r="J44" s="124"/>
      <c r="K44" s="125"/>
      <c r="L44" s="141" t="s">
        <v>86</v>
      </c>
      <c r="M44" s="65"/>
      <c r="N44" s="65"/>
      <c r="O44" s="125"/>
      <c r="P44" s="127"/>
      <c r="Q44" s="2"/>
      <c r="R44" s="2"/>
      <c r="S44" s="2"/>
      <c r="T44" s="3"/>
      <c r="U44" s="2"/>
      <c r="V44" s="2"/>
      <c r="W44" s="2"/>
      <c r="X44" s="2"/>
      <c r="Y44" s="2"/>
    </row>
    <row r="45">
      <c r="A45" s="2"/>
      <c r="B45" s="102" t="s">
        <v>3</v>
      </c>
      <c r="C45" s="103" t="s">
        <v>4</v>
      </c>
      <c r="D45" s="103" t="s">
        <v>5</v>
      </c>
      <c r="E45" s="103" t="s">
        <v>6</v>
      </c>
      <c r="F45" s="103" t="s">
        <v>7</v>
      </c>
      <c r="G45" s="103" t="s">
        <v>8</v>
      </c>
      <c r="H45" s="104" t="s">
        <v>9</v>
      </c>
      <c r="I45" s="2"/>
      <c r="J45" s="102" t="s">
        <v>3</v>
      </c>
      <c r="K45" s="103" t="s">
        <v>4</v>
      </c>
      <c r="L45" s="103" t="s">
        <v>5</v>
      </c>
      <c r="M45" s="103" t="s">
        <v>6</v>
      </c>
      <c r="N45" s="103" t="s">
        <v>7</v>
      </c>
      <c r="O45" s="103" t="s">
        <v>8</v>
      </c>
      <c r="P45" s="104" t="s">
        <v>9</v>
      </c>
      <c r="Q45" s="2"/>
      <c r="R45" s="2"/>
      <c r="S45" s="2"/>
      <c r="T45" s="3"/>
      <c r="U45" s="2"/>
      <c r="V45" s="2"/>
      <c r="W45" s="2"/>
      <c r="X45" s="2"/>
      <c r="Y45" s="2"/>
    </row>
    <row r="46">
      <c r="A46" s="2"/>
      <c r="B46" s="108"/>
      <c r="C46" s="108"/>
      <c r="D46" s="134">
        <v>45839.0</v>
      </c>
      <c r="E46" s="135">
        <v>45840.0</v>
      </c>
      <c r="F46" s="134">
        <v>45841.0</v>
      </c>
      <c r="G46" s="135">
        <v>45842.0</v>
      </c>
      <c r="H46" s="109">
        <v>45843.0</v>
      </c>
      <c r="I46" s="2"/>
      <c r="J46" s="108"/>
      <c r="K46" s="133"/>
      <c r="L46" s="133"/>
      <c r="M46" s="133"/>
      <c r="N46" s="133"/>
      <c r="O46" s="135">
        <v>45870.0</v>
      </c>
      <c r="P46" s="109">
        <v>45871.0</v>
      </c>
      <c r="Q46" s="2"/>
      <c r="R46" s="2"/>
      <c r="S46" s="2"/>
      <c r="T46" s="3"/>
      <c r="U46" s="2"/>
      <c r="V46" s="2"/>
      <c r="W46" s="2"/>
      <c r="X46" s="2"/>
      <c r="Y46" s="2"/>
    </row>
    <row r="47">
      <c r="A47" s="2"/>
      <c r="B47" s="109">
        <v>45844.0</v>
      </c>
      <c r="C47" s="134">
        <v>45845.0</v>
      </c>
      <c r="D47" s="134">
        <v>45846.0</v>
      </c>
      <c r="E47" s="135">
        <v>45847.0</v>
      </c>
      <c r="F47" s="134">
        <v>45848.0</v>
      </c>
      <c r="G47" s="135">
        <v>45849.0</v>
      </c>
      <c r="H47" s="109">
        <v>45850.0</v>
      </c>
      <c r="I47" s="2"/>
      <c r="J47" s="109">
        <v>45872.0</v>
      </c>
      <c r="K47" s="134">
        <v>45873.0</v>
      </c>
      <c r="L47" s="134">
        <v>45874.0</v>
      </c>
      <c r="M47" s="135">
        <v>45875.0</v>
      </c>
      <c r="N47" s="134">
        <v>45876.0</v>
      </c>
      <c r="O47" s="135">
        <v>45877.0</v>
      </c>
      <c r="P47" s="109">
        <v>45878.0</v>
      </c>
      <c r="Q47" s="2"/>
      <c r="R47" s="2"/>
      <c r="S47" s="2"/>
      <c r="T47" s="3"/>
      <c r="U47" s="2"/>
      <c r="V47" s="2"/>
      <c r="W47" s="2"/>
      <c r="X47" s="2"/>
      <c r="Y47" s="2"/>
    </row>
    <row r="48">
      <c r="A48" s="2"/>
      <c r="B48" s="109">
        <v>45851.0</v>
      </c>
      <c r="C48" s="148">
        <v>45852.0</v>
      </c>
      <c r="D48" s="148">
        <v>45853.0</v>
      </c>
      <c r="E48" s="148">
        <v>45854.0</v>
      </c>
      <c r="F48" s="148">
        <v>45855.0</v>
      </c>
      <c r="G48" s="148">
        <v>45856.0</v>
      </c>
      <c r="H48" s="109">
        <v>45857.0</v>
      </c>
      <c r="I48" s="2"/>
      <c r="J48" s="109">
        <v>45879.0</v>
      </c>
      <c r="K48" s="134">
        <v>45880.0</v>
      </c>
      <c r="L48" s="134">
        <v>45881.0</v>
      </c>
      <c r="M48" s="135">
        <v>45882.0</v>
      </c>
      <c r="N48" s="134">
        <v>45883.0</v>
      </c>
      <c r="O48" s="135">
        <v>45884.0</v>
      </c>
      <c r="P48" s="109">
        <v>45885.0</v>
      </c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109">
        <v>45858.0</v>
      </c>
      <c r="C49" s="148">
        <v>45859.0</v>
      </c>
      <c r="D49" s="148">
        <v>45860.0</v>
      </c>
      <c r="E49" s="148">
        <v>45861.0</v>
      </c>
      <c r="F49" s="148">
        <v>45862.0</v>
      </c>
      <c r="G49" s="148">
        <v>45863.0</v>
      </c>
      <c r="H49" s="109">
        <v>45864.0</v>
      </c>
      <c r="I49" s="2"/>
      <c r="J49" s="109">
        <v>45886.0</v>
      </c>
      <c r="K49" s="134">
        <v>45887.0</v>
      </c>
      <c r="L49" s="134">
        <v>45888.0</v>
      </c>
      <c r="M49" s="135">
        <v>45889.0</v>
      </c>
      <c r="N49" s="134">
        <v>45890.0</v>
      </c>
      <c r="O49" s="135">
        <v>45891.0</v>
      </c>
      <c r="P49" s="109">
        <v>45892.0</v>
      </c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109">
        <v>45865.0</v>
      </c>
      <c r="C50" s="148">
        <v>45866.0</v>
      </c>
      <c r="D50" s="148">
        <v>45867.0</v>
      </c>
      <c r="E50" s="148">
        <v>45868.0</v>
      </c>
      <c r="F50" s="148">
        <v>45869.0</v>
      </c>
      <c r="G50" s="108"/>
      <c r="H50" s="108"/>
      <c r="I50" s="2"/>
      <c r="J50" s="109">
        <v>45893.0</v>
      </c>
      <c r="K50" s="134">
        <v>45894.0</v>
      </c>
      <c r="L50" s="134">
        <v>45895.0</v>
      </c>
      <c r="M50" s="135">
        <v>45896.0</v>
      </c>
      <c r="N50" s="134">
        <v>45897.0</v>
      </c>
      <c r="O50" s="135">
        <v>45898.0</v>
      </c>
      <c r="P50" s="109">
        <v>45899.0</v>
      </c>
      <c r="Q50" s="2"/>
      <c r="R50" s="2"/>
      <c r="S50" s="2"/>
      <c r="T50" s="2"/>
      <c r="U50" s="2"/>
      <c r="V50" s="2"/>
      <c r="W50" s="2"/>
      <c r="X50" s="2"/>
      <c r="Y50" s="2"/>
    </row>
    <row r="51">
      <c r="A51" s="149"/>
      <c r="B51" s="150" t="s">
        <v>87</v>
      </c>
      <c r="C51" s="151"/>
      <c r="D51" s="152"/>
      <c r="E51" s="153"/>
      <c r="F51" s="118" t="s">
        <v>17</v>
      </c>
      <c r="H51" s="119">
        <f>("01:40")*5+("02:30")*4</f>
        <v>0.7638888889</v>
      </c>
      <c r="I51" s="149"/>
      <c r="J51" s="109">
        <v>45900.0</v>
      </c>
      <c r="K51" s="108"/>
      <c r="L51" s="108"/>
      <c r="M51" s="108"/>
      <c r="N51" s="108"/>
      <c r="O51" s="108"/>
      <c r="P51" s="108"/>
      <c r="Q51" s="2"/>
      <c r="R51" s="3"/>
      <c r="S51" s="2"/>
      <c r="T51" s="2"/>
      <c r="U51" s="2"/>
      <c r="V51" s="2"/>
      <c r="W51" s="2"/>
      <c r="X51" s="2"/>
      <c r="Y51" s="2"/>
    </row>
    <row r="52">
      <c r="A52" s="149"/>
      <c r="B52" s="154"/>
      <c r="C52" s="155"/>
      <c r="D52" s="153"/>
      <c r="E52" s="153"/>
      <c r="F52" s="120" t="s">
        <v>18</v>
      </c>
      <c r="G52" s="38"/>
      <c r="H52" s="139">
        <f>"04:00"*5+("4:24"*14)</f>
        <v>3.4</v>
      </c>
      <c r="I52" s="149"/>
      <c r="J52" s="149"/>
      <c r="K52" s="149"/>
      <c r="L52" s="149"/>
      <c r="M52" s="118" t="s">
        <v>17</v>
      </c>
      <c r="O52" s="119">
        <f>("01:40")*12+("02:30")*9</f>
        <v>1.770833333</v>
      </c>
      <c r="P52" s="3"/>
      <c r="Q52" s="2"/>
      <c r="R52" s="3"/>
      <c r="S52" s="2"/>
      <c r="T52" s="2"/>
      <c r="U52" s="2"/>
      <c r="V52" s="2"/>
      <c r="W52" s="2"/>
      <c r="X52" s="2"/>
      <c r="Y52" s="2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20" t="s">
        <v>18</v>
      </c>
      <c r="N53" s="38"/>
      <c r="O53" s="139">
        <f>"04:00"*12</f>
        <v>2</v>
      </c>
      <c r="P53" s="3"/>
      <c r="Q53" s="2"/>
      <c r="R53" s="3"/>
      <c r="S53" s="2"/>
      <c r="T53" s="94"/>
      <c r="U53" s="2"/>
      <c r="V53" s="2"/>
      <c r="W53" s="2"/>
      <c r="X53" s="2"/>
      <c r="Y53" s="2"/>
    </row>
    <row r="54">
      <c r="A54" s="2"/>
      <c r="B54" s="124"/>
      <c r="C54" s="125"/>
      <c r="D54" s="141" t="s">
        <v>88</v>
      </c>
      <c r="E54" s="65"/>
      <c r="F54" s="65"/>
      <c r="G54" s="125"/>
      <c r="H54" s="127"/>
      <c r="I54" s="2"/>
      <c r="J54" s="124"/>
      <c r="K54" s="125"/>
      <c r="L54" s="141" t="s">
        <v>89</v>
      </c>
      <c r="M54" s="65"/>
      <c r="N54" s="65"/>
      <c r="O54" s="125"/>
      <c r="P54" s="127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102" t="s">
        <v>3</v>
      </c>
      <c r="C55" s="103" t="s">
        <v>4</v>
      </c>
      <c r="D55" s="103" t="s">
        <v>5</v>
      </c>
      <c r="E55" s="103" t="s">
        <v>6</v>
      </c>
      <c r="F55" s="103" t="s">
        <v>7</v>
      </c>
      <c r="G55" s="103" t="s">
        <v>8</v>
      </c>
      <c r="H55" s="104" t="s">
        <v>9</v>
      </c>
      <c r="I55" s="2"/>
      <c r="J55" s="102" t="s">
        <v>3</v>
      </c>
      <c r="K55" s="103" t="s">
        <v>4</v>
      </c>
      <c r="L55" s="103" t="s">
        <v>5</v>
      </c>
      <c r="M55" s="103" t="s">
        <v>6</v>
      </c>
      <c r="N55" s="103" t="s">
        <v>7</v>
      </c>
      <c r="O55" s="103" t="s">
        <v>8</v>
      </c>
      <c r="P55" s="104" t="s">
        <v>9</v>
      </c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105"/>
      <c r="C56" s="134">
        <v>45901.0</v>
      </c>
      <c r="D56" s="134">
        <v>45902.0</v>
      </c>
      <c r="E56" s="135">
        <v>45903.0</v>
      </c>
      <c r="F56" s="134">
        <v>45904.0</v>
      </c>
      <c r="G56" s="135">
        <v>45905.0</v>
      </c>
      <c r="H56" s="109">
        <v>45906.0</v>
      </c>
      <c r="I56" s="2"/>
      <c r="J56" s="105"/>
      <c r="K56" s="105"/>
      <c r="L56" s="105"/>
      <c r="M56" s="135">
        <v>45931.0</v>
      </c>
      <c r="N56" s="134">
        <v>45932.0</v>
      </c>
      <c r="O56" s="109">
        <v>45933.0</v>
      </c>
      <c r="P56" s="109">
        <v>45934.0</v>
      </c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109">
        <v>45907.0</v>
      </c>
      <c r="C57" s="134">
        <v>45908.0</v>
      </c>
      <c r="D57" s="134">
        <v>45909.0</v>
      </c>
      <c r="E57" s="135">
        <v>45910.0</v>
      </c>
      <c r="F57" s="134">
        <v>45911.0</v>
      </c>
      <c r="G57" s="135">
        <v>45912.0</v>
      </c>
      <c r="H57" s="109">
        <v>45913.0</v>
      </c>
      <c r="I57" s="2"/>
      <c r="J57" s="109">
        <v>45935.0</v>
      </c>
      <c r="K57" s="134">
        <v>45936.0</v>
      </c>
      <c r="L57" s="134">
        <v>45937.0</v>
      </c>
      <c r="M57" s="135">
        <v>45938.0</v>
      </c>
      <c r="N57" s="134">
        <v>45939.0</v>
      </c>
      <c r="O57" s="135">
        <v>45940.0</v>
      </c>
      <c r="P57" s="109">
        <v>45941.0</v>
      </c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109">
        <v>45914.0</v>
      </c>
      <c r="C58" s="134">
        <v>45915.0</v>
      </c>
      <c r="D58" s="134">
        <v>45916.0</v>
      </c>
      <c r="E58" s="135">
        <v>45917.0</v>
      </c>
      <c r="F58" s="134">
        <v>45918.0</v>
      </c>
      <c r="G58" s="135">
        <v>45919.0</v>
      </c>
      <c r="H58" s="109">
        <v>45920.0</v>
      </c>
      <c r="I58" s="2"/>
      <c r="J58" s="109">
        <v>45942.0</v>
      </c>
      <c r="K58" s="134">
        <v>45943.0</v>
      </c>
      <c r="L58" s="134">
        <v>45944.0</v>
      </c>
      <c r="M58" s="135">
        <v>45945.0</v>
      </c>
      <c r="N58" s="134">
        <v>45946.0</v>
      </c>
      <c r="O58" s="135">
        <v>45947.0</v>
      </c>
      <c r="P58" s="109">
        <v>45948.0</v>
      </c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109">
        <v>45921.0</v>
      </c>
      <c r="C59" s="134">
        <v>45922.0</v>
      </c>
      <c r="D59" s="134">
        <v>45923.0</v>
      </c>
      <c r="E59" s="135">
        <v>45924.0</v>
      </c>
      <c r="F59" s="134">
        <v>45925.0</v>
      </c>
      <c r="G59" s="135">
        <v>45926.0</v>
      </c>
      <c r="H59" s="109">
        <v>45927.0</v>
      </c>
      <c r="I59" s="2"/>
      <c r="J59" s="109">
        <v>45949.0</v>
      </c>
      <c r="K59" s="134">
        <v>45950.0</v>
      </c>
      <c r="L59" s="134">
        <v>45951.0</v>
      </c>
      <c r="M59" s="156">
        <v>45952.0</v>
      </c>
      <c r="N59" s="110">
        <v>45953.0</v>
      </c>
      <c r="O59" s="157">
        <v>45954.0</v>
      </c>
      <c r="P59" s="109">
        <v>45955.0</v>
      </c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109">
        <v>45928.0</v>
      </c>
      <c r="C60" s="134">
        <v>45929.0</v>
      </c>
      <c r="D60" s="134">
        <v>45930.0</v>
      </c>
      <c r="E60" s="137"/>
      <c r="F60" s="137"/>
      <c r="G60" s="137"/>
      <c r="H60" s="137"/>
      <c r="I60" s="2"/>
      <c r="J60" s="109">
        <v>45956.0</v>
      </c>
      <c r="K60" s="157">
        <v>45957.0</v>
      </c>
      <c r="L60" s="157">
        <v>45958.0</v>
      </c>
      <c r="M60" s="157">
        <v>45959.0</v>
      </c>
      <c r="N60" s="157">
        <v>45960.0</v>
      </c>
      <c r="O60" s="157">
        <v>45961.0</v>
      </c>
      <c r="P60" s="138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155"/>
      <c r="C61" s="155"/>
      <c r="D61" s="155"/>
      <c r="E61" s="155"/>
      <c r="F61" s="118" t="s">
        <v>17</v>
      </c>
      <c r="H61" s="119">
        <f>("01:40")*13+("02:30")*9</f>
        <v>1.840277778</v>
      </c>
      <c r="I61" s="149"/>
      <c r="J61" s="155"/>
      <c r="K61" s="155"/>
      <c r="L61" s="155"/>
      <c r="M61" s="153"/>
      <c r="N61" s="118" t="s">
        <v>17</v>
      </c>
      <c r="P61" s="119">
        <f>("01:40")*10+("02:30")*5</f>
        <v>1.215277778</v>
      </c>
      <c r="Q61" s="149"/>
      <c r="R61" s="2"/>
      <c r="S61" s="2"/>
      <c r="T61" s="2"/>
      <c r="U61" s="2"/>
      <c r="V61" s="2"/>
      <c r="W61" s="2"/>
      <c r="X61" s="2"/>
      <c r="Y61" s="2"/>
    </row>
    <row r="62">
      <c r="A62" s="2"/>
      <c r="B62" s="155"/>
      <c r="C62" s="155"/>
      <c r="D62" s="155"/>
      <c r="E62" s="155"/>
      <c r="F62" s="120" t="s">
        <v>18</v>
      </c>
      <c r="G62" s="38"/>
      <c r="H62" s="139">
        <f>"04:00"*13</f>
        <v>2.166666667</v>
      </c>
      <c r="I62" s="149"/>
      <c r="J62" s="155"/>
      <c r="K62" s="155"/>
      <c r="L62" s="155"/>
      <c r="M62" s="153"/>
      <c r="N62" s="120" t="s">
        <v>18</v>
      </c>
      <c r="O62" s="38"/>
      <c r="P62" s="139">
        <f>"04:00"*10+"2:24"</f>
        <v>1.766666667</v>
      </c>
      <c r="Q62" s="149"/>
      <c r="R62" s="2"/>
      <c r="S62" s="2"/>
      <c r="T62" s="2"/>
      <c r="U62" s="2"/>
      <c r="V62" s="2"/>
      <c r="W62" s="2"/>
      <c r="X62" s="2"/>
      <c r="Y62" s="2"/>
    </row>
    <row r="63">
      <c r="A63" s="2"/>
      <c r="B63" s="155"/>
      <c r="C63" s="155"/>
      <c r="D63" s="155"/>
      <c r="E63" s="155"/>
      <c r="F63" s="155"/>
      <c r="G63" s="155"/>
      <c r="H63" s="154"/>
      <c r="I63" s="149"/>
      <c r="J63" s="155"/>
      <c r="K63" s="155"/>
      <c r="L63" s="155"/>
      <c r="M63" s="153"/>
      <c r="N63" s="153"/>
      <c r="O63" s="153"/>
      <c r="P63" s="153"/>
      <c r="Q63" s="149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124"/>
      <c r="C65" s="125"/>
      <c r="D65" s="141" t="s">
        <v>90</v>
      </c>
      <c r="E65" s="65"/>
      <c r="F65" s="65"/>
      <c r="G65" s="125"/>
      <c r="H65" s="127"/>
      <c r="I65" s="2"/>
      <c r="J65" s="124"/>
      <c r="K65" s="125"/>
      <c r="L65" s="141" t="s">
        <v>91</v>
      </c>
      <c r="M65" s="65"/>
      <c r="N65" s="65"/>
      <c r="O65" s="125"/>
      <c r="P65" s="127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102" t="s">
        <v>3</v>
      </c>
      <c r="C66" s="103" t="s">
        <v>4</v>
      </c>
      <c r="D66" s="103" t="s">
        <v>5</v>
      </c>
      <c r="E66" s="103" t="s">
        <v>6</v>
      </c>
      <c r="F66" s="103" t="s">
        <v>7</v>
      </c>
      <c r="G66" s="103" t="s">
        <v>8</v>
      </c>
      <c r="H66" s="104" t="s">
        <v>9</v>
      </c>
      <c r="I66" s="2"/>
      <c r="J66" s="102" t="s">
        <v>3</v>
      </c>
      <c r="K66" s="103" t="s">
        <v>4</v>
      </c>
      <c r="L66" s="103" t="s">
        <v>5</v>
      </c>
      <c r="M66" s="103" t="s">
        <v>6</v>
      </c>
      <c r="N66" s="103" t="s">
        <v>7</v>
      </c>
      <c r="O66" s="103" t="s">
        <v>8</v>
      </c>
      <c r="P66" s="104" t="s">
        <v>9</v>
      </c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108"/>
      <c r="C67" s="132"/>
      <c r="D67" s="132"/>
      <c r="E67" s="132"/>
      <c r="F67" s="132"/>
      <c r="G67" s="132"/>
      <c r="H67" s="109">
        <v>45962.0</v>
      </c>
      <c r="I67" s="2"/>
      <c r="J67" s="108"/>
      <c r="K67" s="158">
        <v>45992.0</v>
      </c>
      <c r="L67" s="158">
        <v>45993.0</v>
      </c>
      <c r="M67" s="158">
        <v>45994.0</v>
      </c>
      <c r="N67" s="158">
        <v>45995.0</v>
      </c>
      <c r="O67" s="158">
        <v>45996.0</v>
      </c>
      <c r="P67" s="109">
        <v>45997.0</v>
      </c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109">
        <v>45963.0</v>
      </c>
      <c r="C68" s="157">
        <v>45964.0</v>
      </c>
      <c r="D68" s="157">
        <v>45965.0</v>
      </c>
      <c r="E68" s="157">
        <v>45966.0</v>
      </c>
      <c r="F68" s="157">
        <v>45967.0</v>
      </c>
      <c r="G68" s="157">
        <v>45968.0</v>
      </c>
      <c r="H68" s="109">
        <v>45969.0</v>
      </c>
      <c r="I68" s="2"/>
      <c r="J68" s="109">
        <v>45998.0</v>
      </c>
      <c r="K68" s="158">
        <v>45999.0</v>
      </c>
      <c r="L68" s="158">
        <v>46000.0</v>
      </c>
      <c r="M68" s="158">
        <v>46001.0</v>
      </c>
      <c r="N68" s="158">
        <v>46002.0</v>
      </c>
      <c r="O68" s="158">
        <v>46003.0</v>
      </c>
      <c r="P68" s="109">
        <v>46004.0</v>
      </c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109">
        <v>45970.0</v>
      </c>
      <c r="C69" s="157">
        <v>45971.0</v>
      </c>
      <c r="D69" s="157">
        <v>45972.0</v>
      </c>
      <c r="E69" s="157">
        <v>45973.0</v>
      </c>
      <c r="F69" s="157">
        <v>45974.0</v>
      </c>
      <c r="G69" s="157">
        <v>45975.0</v>
      </c>
      <c r="H69" s="109">
        <v>45976.0</v>
      </c>
      <c r="I69" s="2"/>
      <c r="J69" s="109">
        <v>46005.0</v>
      </c>
      <c r="K69" s="158">
        <v>46006.0</v>
      </c>
      <c r="L69" s="158">
        <v>46007.0</v>
      </c>
      <c r="M69" s="158">
        <v>46008.0</v>
      </c>
      <c r="N69" s="158">
        <v>46009.0</v>
      </c>
      <c r="O69" s="158">
        <v>46010.0</v>
      </c>
      <c r="P69" s="109">
        <v>46011.0</v>
      </c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109">
        <v>45977.0</v>
      </c>
      <c r="C70" s="157">
        <v>45978.0</v>
      </c>
      <c r="D70" s="157">
        <v>45979.0</v>
      </c>
      <c r="E70" s="157">
        <v>45980.0</v>
      </c>
      <c r="F70" s="109">
        <v>45981.0</v>
      </c>
      <c r="G70" s="157">
        <v>45982.0</v>
      </c>
      <c r="H70" s="109">
        <v>45983.0</v>
      </c>
      <c r="I70" s="2"/>
      <c r="J70" s="109">
        <v>46012.0</v>
      </c>
      <c r="K70" s="158">
        <v>46013.0</v>
      </c>
      <c r="L70" s="158">
        <v>46014.0</v>
      </c>
      <c r="M70" s="158">
        <v>46015.0</v>
      </c>
      <c r="N70" s="109">
        <v>46016.0</v>
      </c>
      <c r="O70" s="158">
        <v>46017.0</v>
      </c>
      <c r="P70" s="109">
        <v>46018.0</v>
      </c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109">
        <v>45984.0</v>
      </c>
      <c r="C71" s="157">
        <v>45985.0</v>
      </c>
      <c r="D71" s="157">
        <v>45986.0</v>
      </c>
      <c r="E71" s="157">
        <v>45987.0</v>
      </c>
      <c r="F71" s="157">
        <v>45988.0</v>
      </c>
      <c r="G71" s="157">
        <v>45989.0</v>
      </c>
      <c r="H71" s="109">
        <v>45990.0</v>
      </c>
      <c r="I71" s="2"/>
      <c r="J71" s="109">
        <v>46019.0</v>
      </c>
      <c r="K71" s="158">
        <v>46020.0</v>
      </c>
      <c r="L71" s="158">
        <v>46021.0</v>
      </c>
      <c r="M71" s="158">
        <v>46022.0</v>
      </c>
      <c r="N71" s="137"/>
      <c r="O71" s="137"/>
      <c r="P71" s="138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109">
        <v>45991.0</v>
      </c>
      <c r="C72" s="2"/>
      <c r="D72" s="2"/>
      <c r="E72" s="2"/>
      <c r="F72" s="2"/>
      <c r="G72" s="2"/>
      <c r="H72" s="3"/>
      <c r="I72" s="149"/>
      <c r="J72" s="2"/>
      <c r="K72" s="2"/>
      <c r="L72" s="2"/>
      <c r="M72" s="2"/>
      <c r="N72" s="118" t="s">
        <v>17</v>
      </c>
      <c r="P72" s="61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118" t="s">
        <v>17</v>
      </c>
      <c r="H73" s="159"/>
      <c r="I73" s="149"/>
      <c r="J73" s="2"/>
      <c r="K73" s="2"/>
      <c r="L73" s="2"/>
      <c r="M73" s="2"/>
      <c r="N73" s="120" t="s">
        <v>18</v>
      </c>
      <c r="O73" s="38"/>
      <c r="P73" s="160"/>
      <c r="Q73" s="149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120" t="s">
        <v>18</v>
      </c>
      <c r="G74" s="38"/>
      <c r="H74" s="160"/>
      <c r="I74" s="2"/>
      <c r="J74" s="2"/>
      <c r="K74" s="2"/>
      <c r="L74" s="2"/>
      <c r="M74" s="2"/>
      <c r="N74" s="2"/>
      <c r="O74" s="2"/>
      <c r="P74" s="2"/>
      <c r="Q74" s="149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</sheetData>
  <mergeCells count="38">
    <mergeCell ref="B12:P12"/>
    <mergeCell ref="D14:F14"/>
    <mergeCell ref="L14:N14"/>
    <mergeCell ref="M21:N21"/>
    <mergeCell ref="M22:N22"/>
    <mergeCell ref="D23:F23"/>
    <mergeCell ref="L23:N23"/>
    <mergeCell ref="N30:O30"/>
    <mergeCell ref="E31:F31"/>
    <mergeCell ref="N31:O31"/>
    <mergeCell ref="D34:F34"/>
    <mergeCell ref="L34:N34"/>
    <mergeCell ref="W36:W38"/>
    <mergeCell ref="X36:X38"/>
    <mergeCell ref="F52:G52"/>
    <mergeCell ref="F61:G61"/>
    <mergeCell ref="F62:G62"/>
    <mergeCell ref="D65:F65"/>
    <mergeCell ref="F73:G73"/>
    <mergeCell ref="F74:G74"/>
    <mergeCell ref="E32:F32"/>
    <mergeCell ref="F41:G41"/>
    <mergeCell ref="F42:G42"/>
    <mergeCell ref="D44:F44"/>
    <mergeCell ref="B51:D51"/>
    <mergeCell ref="F51:G51"/>
    <mergeCell ref="D54:F54"/>
    <mergeCell ref="N62:O62"/>
    <mergeCell ref="L65:N65"/>
    <mergeCell ref="N72:O72"/>
    <mergeCell ref="N73:O73"/>
    <mergeCell ref="N41:O41"/>
    <mergeCell ref="N42:O42"/>
    <mergeCell ref="L44:N44"/>
    <mergeCell ref="M52:N52"/>
    <mergeCell ref="M53:N53"/>
    <mergeCell ref="L54:N54"/>
    <mergeCell ref="N61:O6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14"/>
    <col customWidth="1" min="2" max="16" width="7.71"/>
    <col customWidth="1" min="19" max="19" width="5.57"/>
    <col customWidth="1" min="20" max="20" width="27.86"/>
    <col customWidth="1" min="21" max="21" width="22.14"/>
    <col customWidth="1" min="22" max="22" width="25.29"/>
  </cols>
  <sheetData>
    <row r="1">
      <c r="A1" s="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3"/>
      <c r="R10" s="2"/>
      <c r="S10" s="2"/>
      <c r="T10" s="2"/>
      <c r="U10" s="2"/>
      <c r="V10" s="2"/>
      <c r="W10" s="2"/>
      <c r="X10" s="2"/>
      <c r="Y10" s="2"/>
    </row>
    <row r="11">
      <c r="A11" s="2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3"/>
      <c r="R11" s="2"/>
      <c r="S11" s="2"/>
      <c r="T11" s="2"/>
      <c r="U11" s="2"/>
      <c r="V11" s="2"/>
      <c r="W11" s="2"/>
      <c r="X11" s="2"/>
      <c r="Y11" s="2"/>
    </row>
    <row r="12">
      <c r="A12" s="2"/>
      <c r="B12" s="161" t="s">
        <v>92</v>
      </c>
      <c r="Q12" s="3"/>
      <c r="R12" s="2"/>
      <c r="S12" s="2"/>
      <c r="T12" s="2"/>
      <c r="U12" s="2"/>
      <c r="V12" s="2"/>
      <c r="W12" s="2"/>
      <c r="X12" s="2"/>
      <c r="Y12" s="2"/>
    </row>
    <row r="13">
      <c r="A13" s="2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95"/>
      <c r="C14" s="96"/>
      <c r="D14" s="97" t="s">
        <v>48</v>
      </c>
      <c r="E14" s="8"/>
      <c r="F14" s="8"/>
      <c r="G14" s="96"/>
      <c r="H14" s="98"/>
      <c r="I14" s="2"/>
      <c r="J14" s="99"/>
      <c r="K14" s="96"/>
      <c r="L14" s="162" t="s">
        <v>49</v>
      </c>
      <c r="M14" s="8"/>
      <c r="N14" s="8"/>
      <c r="O14" s="96"/>
      <c r="P14" s="100"/>
      <c r="Q14" s="2"/>
      <c r="R14" s="12"/>
      <c r="S14" s="101" t="s">
        <v>2</v>
      </c>
      <c r="T14" s="26"/>
      <c r="U14" s="26"/>
      <c r="V14" s="26"/>
      <c r="W14" s="26"/>
      <c r="X14" s="26"/>
      <c r="Y14" s="2"/>
    </row>
    <row r="15">
      <c r="A15" s="2"/>
      <c r="B15" s="102" t="s">
        <v>3</v>
      </c>
      <c r="C15" s="103" t="s">
        <v>4</v>
      </c>
      <c r="D15" s="103" t="s">
        <v>5</v>
      </c>
      <c r="E15" s="103" t="s">
        <v>6</v>
      </c>
      <c r="F15" s="103" t="s">
        <v>7</v>
      </c>
      <c r="G15" s="103" t="s">
        <v>8</v>
      </c>
      <c r="H15" s="104" t="s">
        <v>9</v>
      </c>
      <c r="I15" s="2"/>
      <c r="J15" s="102" t="s">
        <v>3</v>
      </c>
      <c r="K15" s="103" t="s">
        <v>4</v>
      </c>
      <c r="L15" s="103" t="s">
        <v>5</v>
      </c>
      <c r="M15" s="103" t="s">
        <v>6</v>
      </c>
      <c r="N15" s="103" t="s">
        <v>7</v>
      </c>
      <c r="O15" s="103" t="s">
        <v>8</v>
      </c>
      <c r="P15" s="104" t="s">
        <v>9</v>
      </c>
      <c r="Q15" s="2"/>
      <c r="R15" s="12"/>
      <c r="S15" s="26"/>
      <c r="T15" s="26"/>
      <c r="U15" s="26"/>
      <c r="V15" s="26"/>
      <c r="W15" s="26"/>
      <c r="X15" s="26"/>
      <c r="Y15" s="2"/>
    </row>
    <row r="16">
      <c r="A16" s="2"/>
      <c r="B16" s="105"/>
      <c r="C16" s="105"/>
      <c r="D16" s="105"/>
      <c r="E16" s="106">
        <v>45658.0</v>
      </c>
      <c r="F16" s="107">
        <v>45659.0</v>
      </c>
      <c r="G16" s="107">
        <v>45660.0</v>
      </c>
      <c r="H16" s="106">
        <v>45661.0</v>
      </c>
      <c r="I16" s="2"/>
      <c r="J16" s="108"/>
      <c r="K16" s="108"/>
      <c r="L16" s="108"/>
      <c r="M16" s="108"/>
      <c r="N16" s="108"/>
      <c r="O16" s="108"/>
      <c r="P16" s="109">
        <v>45689.0</v>
      </c>
      <c r="Q16" s="2"/>
      <c r="R16" s="12"/>
      <c r="S16" s="25"/>
      <c r="T16" s="26" t="s">
        <v>10</v>
      </c>
      <c r="U16" s="26"/>
      <c r="V16" s="26"/>
      <c r="W16" s="26"/>
      <c r="X16" s="26"/>
      <c r="Y16" s="2"/>
    </row>
    <row r="17">
      <c r="A17" s="2"/>
      <c r="B17" s="106">
        <v>45662.0</v>
      </c>
      <c r="C17" s="107">
        <v>45663.0</v>
      </c>
      <c r="D17" s="107">
        <v>45664.0</v>
      </c>
      <c r="E17" s="107">
        <v>45665.0</v>
      </c>
      <c r="F17" s="107">
        <v>45666.0</v>
      </c>
      <c r="G17" s="107">
        <v>45667.0</v>
      </c>
      <c r="H17" s="106">
        <v>45668.0</v>
      </c>
      <c r="I17" s="2"/>
      <c r="J17" s="109">
        <v>45690.0</v>
      </c>
      <c r="K17" s="110">
        <v>45691.0</v>
      </c>
      <c r="L17" s="111">
        <v>45692.0</v>
      </c>
      <c r="M17" s="111">
        <v>45693.0</v>
      </c>
      <c r="N17" s="111">
        <v>45694.0</v>
      </c>
      <c r="O17" s="111">
        <v>45695.0</v>
      </c>
      <c r="P17" s="109">
        <v>45696.0</v>
      </c>
      <c r="Q17" s="2"/>
      <c r="R17" s="12"/>
      <c r="S17" s="26"/>
      <c r="T17" s="26"/>
      <c r="U17" s="26"/>
      <c r="V17" s="26"/>
      <c r="W17" s="26"/>
      <c r="X17" s="26"/>
      <c r="Y17" s="2"/>
    </row>
    <row r="18">
      <c r="A18" s="2"/>
      <c r="B18" s="106">
        <v>45669.0</v>
      </c>
      <c r="C18" s="107">
        <v>45670.0</v>
      </c>
      <c r="D18" s="107">
        <v>45671.0</v>
      </c>
      <c r="E18" s="107">
        <v>45672.0</v>
      </c>
      <c r="F18" s="107">
        <v>45673.0</v>
      </c>
      <c r="G18" s="107">
        <v>45674.0</v>
      </c>
      <c r="H18" s="106">
        <v>45675.0</v>
      </c>
      <c r="I18" s="2"/>
      <c r="J18" s="109">
        <v>45697.0</v>
      </c>
      <c r="K18" s="111">
        <v>45698.0</v>
      </c>
      <c r="L18" s="111">
        <v>45699.0</v>
      </c>
      <c r="M18" s="111">
        <v>45700.0</v>
      </c>
      <c r="N18" s="111">
        <v>45701.0</v>
      </c>
      <c r="O18" s="111">
        <v>45702.0</v>
      </c>
      <c r="P18" s="109">
        <v>45703.0</v>
      </c>
      <c r="Q18" s="2"/>
      <c r="R18" s="12"/>
      <c r="S18" s="28"/>
      <c r="T18" s="26" t="s">
        <v>13</v>
      </c>
      <c r="U18" s="26"/>
      <c r="V18" s="26"/>
      <c r="W18" s="26"/>
      <c r="X18" s="26"/>
      <c r="Y18" s="2"/>
    </row>
    <row r="19">
      <c r="A19" s="2"/>
      <c r="B19" s="106">
        <v>45676.0</v>
      </c>
      <c r="C19" s="107">
        <v>45677.0</v>
      </c>
      <c r="D19" s="107">
        <v>45678.0</v>
      </c>
      <c r="E19" s="107">
        <v>45679.0</v>
      </c>
      <c r="F19" s="107">
        <v>45680.0</v>
      </c>
      <c r="G19" s="107">
        <v>45681.0</v>
      </c>
      <c r="H19" s="106">
        <v>45682.0</v>
      </c>
      <c r="I19" s="2"/>
      <c r="J19" s="109">
        <v>45704.0</v>
      </c>
      <c r="K19" s="111">
        <v>45705.0</v>
      </c>
      <c r="L19" s="111">
        <v>45706.0</v>
      </c>
      <c r="M19" s="111">
        <v>45707.0</v>
      </c>
      <c r="N19" s="111">
        <v>45708.0</v>
      </c>
      <c r="O19" s="111">
        <v>45709.0</v>
      </c>
      <c r="P19" s="109">
        <v>45710.0</v>
      </c>
      <c r="Q19" s="2"/>
      <c r="R19" s="12"/>
      <c r="S19" s="26"/>
      <c r="T19" s="26"/>
      <c r="U19" s="26"/>
      <c r="V19" s="26"/>
      <c r="W19" s="26"/>
      <c r="X19" s="26"/>
      <c r="Y19" s="2"/>
    </row>
    <row r="20">
      <c r="A20" s="2"/>
      <c r="B20" s="109">
        <v>45683.0</v>
      </c>
      <c r="C20" s="113">
        <v>45684.0</v>
      </c>
      <c r="D20" s="113">
        <v>45685.0</v>
      </c>
      <c r="E20" s="113">
        <v>45686.0</v>
      </c>
      <c r="F20" s="113">
        <v>45687.0</v>
      </c>
      <c r="G20" s="113">
        <v>45688.0</v>
      </c>
      <c r="H20" s="114"/>
      <c r="I20" s="2"/>
      <c r="J20" s="109">
        <v>45711.0</v>
      </c>
      <c r="K20" s="111">
        <v>45712.0</v>
      </c>
      <c r="L20" s="111">
        <v>45713.0</v>
      </c>
      <c r="M20" s="111">
        <v>45714.0</v>
      </c>
      <c r="N20" s="111">
        <v>45715.0</v>
      </c>
      <c r="O20" s="111">
        <v>45716.0</v>
      </c>
      <c r="P20" s="108"/>
      <c r="Q20" s="2"/>
      <c r="R20" s="12"/>
      <c r="S20" s="31"/>
      <c r="T20" s="26" t="s">
        <v>15</v>
      </c>
      <c r="U20" s="26"/>
      <c r="V20" s="26"/>
      <c r="W20" s="26"/>
      <c r="X20" s="26"/>
      <c r="Y20" s="2"/>
    </row>
    <row r="21">
      <c r="A21" s="2"/>
      <c r="B21" s="116"/>
      <c r="C21" s="116"/>
      <c r="D21" s="116"/>
      <c r="E21" s="117"/>
      <c r="F21" s="117"/>
      <c r="G21" s="117"/>
      <c r="H21" s="117"/>
      <c r="I21" s="2"/>
      <c r="J21" s="116"/>
      <c r="K21" s="116"/>
      <c r="L21" s="116"/>
      <c r="M21" s="118" t="s">
        <v>17</v>
      </c>
      <c r="O21" s="119">
        <f>("05:00")*20</f>
        <v>4.166666667</v>
      </c>
      <c r="P21" s="117"/>
      <c r="Q21" s="2"/>
      <c r="R21" s="12"/>
      <c r="S21" s="26"/>
      <c r="T21" s="26"/>
      <c r="U21" s="26"/>
      <c r="V21" s="26"/>
      <c r="W21" s="26"/>
      <c r="X21" s="26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20" t="s">
        <v>18</v>
      </c>
      <c r="N22" s="38"/>
      <c r="O22" s="121">
        <v>0.0</v>
      </c>
      <c r="P22" s="2"/>
      <c r="Q22" s="2"/>
      <c r="R22" s="12"/>
      <c r="S22" s="122"/>
      <c r="T22" s="123" t="s">
        <v>19</v>
      </c>
      <c r="U22" s="26"/>
      <c r="V22" s="26"/>
      <c r="W22" s="26"/>
      <c r="X22" s="26"/>
      <c r="Y22" s="2"/>
    </row>
    <row r="23">
      <c r="A23" s="2"/>
      <c r="B23" s="124"/>
      <c r="C23" s="125"/>
      <c r="D23" s="163" t="s">
        <v>50</v>
      </c>
      <c r="E23" s="45"/>
      <c r="F23" s="45"/>
      <c r="G23" s="125"/>
      <c r="H23" s="127"/>
      <c r="I23" s="2"/>
      <c r="J23" s="124"/>
      <c r="K23" s="125"/>
      <c r="L23" s="163" t="s">
        <v>51</v>
      </c>
      <c r="M23" s="45"/>
      <c r="N23" s="45"/>
      <c r="O23" s="125"/>
      <c r="P23" s="127"/>
      <c r="Q23" s="2"/>
      <c r="R23" s="12"/>
      <c r="S23" s="26"/>
      <c r="T23" s="26"/>
      <c r="U23" s="26"/>
      <c r="V23" s="26"/>
      <c r="W23" s="128" t="s">
        <v>27</v>
      </c>
      <c r="X23" s="129">
        <f>SUM(O21+G31+P30+H41+P41+H51+O52+H61+P61+H73+P72)</f>
        <v>16.66666667</v>
      </c>
      <c r="Y23" s="2"/>
    </row>
    <row r="24">
      <c r="A24" s="2"/>
      <c r="B24" s="102" t="s">
        <v>3</v>
      </c>
      <c r="C24" s="103" t="s">
        <v>4</v>
      </c>
      <c r="D24" s="103" t="s">
        <v>5</v>
      </c>
      <c r="E24" s="103" t="s">
        <v>6</v>
      </c>
      <c r="F24" s="103" t="s">
        <v>7</v>
      </c>
      <c r="G24" s="103" t="s">
        <v>8</v>
      </c>
      <c r="H24" s="104" t="s">
        <v>9</v>
      </c>
      <c r="I24" s="2"/>
      <c r="J24" s="102" t="s">
        <v>3</v>
      </c>
      <c r="K24" s="103" t="s">
        <v>4</v>
      </c>
      <c r="L24" s="103" t="s">
        <v>5</v>
      </c>
      <c r="M24" s="103" t="s">
        <v>6</v>
      </c>
      <c r="N24" s="103" t="s">
        <v>7</v>
      </c>
      <c r="O24" s="103" t="s">
        <v>8</v>
      </c>
      <c r="P24" s="104" t="s">
        <v>9</v>
      </c>
      <c r="Q24" s="2"/>
      <c r="R24" s="12"/>
      <c r="S24" s="59"/>
      <c r="T24" s="48" t="s">
        <v>73</v>
      </c>
      <c r="U24" s="26"/>
      <c r="V24" s="26"/>
      <c r="W24" s="26"/>
      <c r="X24" s="131"/>
      <c r="Y24" s="2"/>
    </row>
    <row r="25">
      <c r="A25" s="2"/>
      <c r="B25" s="108"/>
      <c r="C25" s="132"/>
      <c r="D25" s="132"/>
      <c r="E25" s="132"/>
      <c r="F25" s="133"/>
      <c r="G25" s="133"/>
      <c r="H25" s="109">
        <v>45717.0</v>
      </c>
      <c r="I25" s="2"/>
      <c r="J25" s="108"/>
      <c r="K25" s="108"/>
      <c r="L25" s="134">
        <v>45748.0</v>
      </c>
      <c r="M25" s="135">
        <v>45749.0</v>
      </c>
      <c r="N25" s="134">
        <v>45750.0</v>
      </c>
      <c r="O25" s="135">
        <v>45751.0</v>
      </c>
      <c r="P25" s="109">
        <v>45752.0</v>
      </c>
      <c r="Q25" s="2"/>
      <c r="R25" s="12"/>
      <c r="S25" s="2"/>
      <c r="T25" s="2"/>
      <c r="U25" s="26"/>
      <c r="V25" s="26"/>
      <c r="W25" s="128" t="s">
        <v>30</v>
      </c>
      <c r="X25" s="129">
        <f>SUM(O22+G32+P31+H42+P42+H52+O53+H62+P62+H74+P73)</f>
        <v>33.33333333</v>
      </c>
      <c r="Y25" s="2"/>
    </row>
    <row r="26">
      <c r="A26" s="2"/>
      <c r="B26" s="109">
        <v>45718.0</v>
      </c>
      <c r="C26" s="109">
        <v>45719.0</v>
      </c>
      <c r="D26" s="109">
        <v>45720.0</v>
      </c>
      <c r="E26" s="109">
        <v>45721.0</v>
      </c>
      <c r="F26" s="134">
        <v>45722.0</v>
      </c>
      <c r="G26" s="135">
        <v>45723.0</v>
      </c>
      <c r="H26" s="109">
        <v>45724.0</v>
      </c>
      <c r="I26" s="2"/>
      <c r="J26" s="109">
        <v>45753.0</v>
      </c>
      <c r="K26" s="134">
        <v>45754.0</v>
      </c>
      <c r="L26" s="134">
        <v>45755.0</v>
      </c>
      <c r="M26" s="135">
        <v>45756.0</v>
      </c>
      <c r="N26" s="134">
        <v>45757.0</v>
      </c>
      <c r="O26" s="135">
        <v>45758.0</v>
      </c>
      <c r="P26" s="109">
        <v>45759.0</v>
      </c>
      <c r="Q26" s="2"/>
      <c r="R26" s="12"/>
      <c r="S26" s="164"/>
      <c r="T26" s="48" t="s">
        <v>93</v>
      </c>
      <c r="U26" s="26"/>
      <c r="V26" s="26"/>
      <c r="W26" s="26"/>
      <c r="X26" s="131"/>
      <c r="Y26" s="2"/>
    </row>
    <row r="27">
      <c r="A27" s="2"/>
      <c r="B27" s="109">
        <v>45725.0</v>
      </c>
      <c r="C27" s="134">
        <v>45726.0</v>
      </c>
      <c r="D27" s="134">
        <v>45727.0</v>
      </c>
      <c r="E27" s="135">
        <v>45728.0</v>
      </c>
      <c r="F27" s="134">
        <v>45729.0</v>
      </c>
      <c r="G27" s="135">
        <v>45730.0</v>
      </c>
      <c r="H27" s="109">
        <v>45731.0</v>
      </c>
      <c r="I27" s="2"/>
      <c r="J27" s="109">
        <v>45760.0</v>
      </c>
      <c r="K27" s="134">
        <v>45761.0</v>
      </c>
      <c r="L27" s="134">
        <v>45762.0</v>
      </c>
      <c r="M27" s="135">
        <v>45763.0</v>
      </c>
      <c r="N27" s="134">
        <v>45764.0</v>
      </c>
      <c r="O27" s="109">
        <v>45765.0</v>
      </c>
      <c r="P27" s="109">
        <v>45766.0</v>
      </c>
      <c r="Q27" s="2"/>
      <c r="R27" s="12"/>
      <c r="S27" s="2"/>
      <c r="T27" s="2"/>
      <c r="U27" s="26"/>
      <c r="V27" s="26"/>
      <c r="W27" s="68" t="s">
        <v>31</v>
      </c>
      <c r="X27" s="129">
        <f>SUM(X23+X25)</f>
        <v>50</v>
      </c>
      <c r="Y27" s="2"/>
    </row>
    <row r="28">
      <c r="A28" s="2"/>
      <c r="B28" s="109">
        <v>45732.0</v>
      </c>
      <c r="C28" s="134">
        <v>45733.0</v>
      </c>
      <c r="D28" s="134">
        <v>45734.0</v>
      </c>
      <c r="E28" s="135">
        <v>45735.0</v>
      </c>
      <c r="F28" s="134">
        <v>45736.0</v>
      </c>
      <c r="G28" s="135">
        <v>45737.0</v>
      </c>
      <c r="H28" s="109">
        <v>45738.0</v>
      </c>
      <c r="I28" s="2"/>
      <c r="J28" s="109">
        <v>45767.0</v>
      </c>
      <c r="K28" s="109">
        <v>45768.0</v>
      </c>
      <c r="L28" s="134">
        <v>45769.0</v>
      </c>
      <c r="M28" s="135">
        <v>45770.0</v>
      </c>
      <c r="N28" s="134">
        <v>45771.0</v>
      </c>
      <c r="O28" s="135">
        <v>45772.0</v>
      </c>
      <c r="P28" s="109">
        <v>45773.0</v>
      </c>
      <c r="Q28" s="2"/>
      <c r="R28" s="2"/>
      <c r="S28" s="55"/>
      <c r="T28" s="2" t="s">
        <v>74</v>
      </c>
      <c r="U28" s="26"/>
      <c r="V28" s="26"/>
      <c r="W28" s="26"/>
      <c r="X28" s="26"/>
      <c r="Y28" s="2"/>
    </row>
    <row r="29">
      <c r="A29" s="2"/>
      <c r="B29" s="109">
        <v>45739.0</v>
      </c>
      <c r="C29" s="134">
        <v>45740.0</v>
      </c>
      <c r="D29" s="134">
        <v>45741.0</v>
      </c>
      <c r="E29" s="135">
        <v>45742.0</v>
      </c>
      <c r="F29" s="134">
        <v>45743.0</v>
      </c>
      <c r="G29" s="135">
        <v>45744.0</v>
      </c>
      <c r="H29" s="109">
        <v>45745.0</v>
      </c>
      <c r="I29" s="2"/>
      <c r="J29" s="109">
        <v>45774.0</v>
      </c>
      <c r="K29" s="134">
        <v>45775.0</v>
      </c>
      <c r="L29" s="134">
        <v>45776.0</v>
      </c>
      <c r="M29" s="135">
        <v>45777.0</v>
      </c>
      <c r="N29" s="137"/>
      <c r="O29" s="137"/>
      <c r="P29" s="138"/>
      <c r="Q29" s="2"/>
      <c r="R29" s="2"/>
      <c r="S29" s="26"/>
      <c r="T29" s="26"/>
      <c r="U29" s="26"/>
      <c r="V29" s="26"/>
      <c r="W29" s="26"/>
      <c r="X29" s="26"/>
      <c r="Y29" s="2"/>
    </row>
    <row r="30">
      <c r="A30" s="2"/>
      <c r="B30" s="109">
        <v>45746.0</v>
      </c>
      <c r="C30" s="134">
        <v>45747.0</v>
      </c>
      <c r="D30" s="137"/>
      <c r="E30" s="137"/>
      <c r="F30" s="137"/>
      <c r="G30" s="137"/>
      <c r="H30" s="138"/>
      <c r="I30" s="2"/>
      <c r="J30" s="2"/>
      <c r="K30" s="2"/>
      <c r="L30" s="2"/>
      <c r="M30" s="2"/>
      <c r="N30" s="118" t="s">
        <v>17</v>
      </c>
      <c r="P30" s="119">
        <f>("01:40")*12+("02:30")*8</f>
        <v>1.666666667</v>
      </c>
      <c r="Q30" s="2"/>
      <c r="R30" s="2"/>
      <c r="S30" s="140"/>
      <c r="T30" s="26" t="s">
        <v>94</v>
      </c>
      <c r="U30" s="26"/>
      <c r="V30" s="26"/>
      <c r="W30" s="26"/>
      <c r="X30" s="61"/>
      <c r="Y30" s="2"/>
    </row>
    <row r="31">
      <c r="A31" s="2"/>
      <c r="B31" s="2"/>
      <c r="C31" s="2"/>
      <c r="D31" s="2"/>
      <c r="E31" s="118" t="s">
        <v>17</v>
      </c>
      <c r="G31" s="119">
        <f>("01:40")*11+("02:30")*7</f>
        <v>1.493055556</v>
      </c>
      <c r="H31" s="2"/>
      <c r="I31" s="2"/>
      <c r="J31" s="2"/>
      <c r="K31" s="2"/>
      <c r="L31" s="2"/>
      <c r="M31" s="2"/>
      <c r="N31" s="120" t="s">
        <v>18</v>
      </c>
      <c r="O31" s="38"/>
      <c r="P31" s="139">
        <f>"04:00"*20</f>
        <v>3.333333333</v>
      </c>
      <c r="Q31" s="2"/>
      <c r="R31" s="2"/>
      <c r="S31" s="2"/>
      <c r="T31" s="2"/>
      <c r="U31" s="26"/>
      <c r="V31" s="26"/>
      <c r="W31" s="26"/>
      <c r="X31" s="61"/>
      <c r="Y31" s="2"/>
    </row>
    <row r="32">
      <c r="A32" s="2"/>
      <c r="B32" s="2"/>
      <c r="C32" s="2"/>
      <c r="D32" s="2"/>
      <c r="E32" s="120" t="s">
        <v>18</v>
      </c>
      <c r="F32" s="38"/>
      <c r="G32" s="139">
        <f>"04:00"*18</f>
        <v>3</v>
      </c>
      <c r="H32" s="2"/>
      <c r="I32" s="2"/>
      <c r="J32" s="116"/>
      <c r="K32" s="117"/>
      <c r="L32" s="117"/>
      <c r="M32" s="117"/>
      <c r="N32" s="2"/>
      <c r="O32" s="2"/>
      <c r="P32" s="2"/>
      <c r="Q32" s="2"/>
      <c r="R32" s="2"/>
      <c r="S32" s="142"/>
      <c r="T32" s="48" t="s">
        <v>95</v>
      </c>
      <c r="U32" s="26"/>
      <c r="V32" s="26"/>
      <c r="W32" s="26"/>
      <c r="X32" s="26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6"/>
      <c r="V33" s="26"/>
      <c r="W33" s="26"/>
      <c r="X33" s="131"/>
      <c r="Y33" s="2"/>
    </row>
    <row r="34">
      <c r="A34" s="2"/>
      <c r="B34" s="124"/>
      <c r="C34" s="125"/>
      <c r="D34" s="165" t="s">
        <v>53</v>
      </c>
      <c r="E34" s="65"/>
      <c r="F34" s="65"/>
      <c r="G34" s="125"/>
      <c r="H34" s="127"/>
      <c r="I34" s="2"/>
      <c r="J34" s="124"/>
      <c r="K34" s="125"/>
      <c r="L34" s="165" t="s">
        <v>54</v>
      </c>
      <c r="M34" s="65"/>
      <c r="N34" s="65"/>
      <c r="O34" s="125"/>
      <c r="P34" s="127"/>
      <c r="Q34" s="2"/>
      <c r="R34" s="2"/>
      <c r="S34" s="166"/>
      <c r="T34" s="48"/>
      <c r="U34" s="26"/>
      <c r="V34" s="26"/>
      <c r="W34" s="26"/>
      <c r="X34" s="131"/>
      <c r="Y34" s="2"/>
    </row>
    <row r="35">
      <c r="A35" s="2"/>
      <c r="B35" s="102" t="s">
        <v>3</v>
      </c>
      <c r="C35" s="103" t="s">
        <v>4</v>
      </c>
      <c r="D35" s="103" t="s">
        <v>5</v>
      </c>
      <c r="E35" s="103" t="s">
        <v>6</v>
      </c>
      <c r="F35" s="103" t="s">
        <v>7</v>
      </c>
      <c r="G35" s="103" t="s">
        <v>8</v>
      </c>
      <c r="H35" s="104" t="s">
        <v>9</v>
      </c>
      <c r="I35" s="2"/>
      <c r="J35" s="102" t="s">
        <v>3</v>
      </c>
      <c r="K35" s="103" t="s">
        <v>4</v>
      </c>
      <c r="L35" s="103" t="s">
        <v>5</v>
      </c>
      <c r="M35" s="103" t="s">
        <v>6</v>
      </c>
      <c r="N35" s="103" t="s">
        <v>7</v>
      </c>
      <c r="O35" s="103" t="s">
        <v>8</v>
      </c>
      <c r="P35" s="104" t="s">
        <v>9</v>
      </c>
      <c r="Q35" s="2"/>
      <c r="R35" s="2"/>
      <c r="S35" s="2" t="s">
        <v>96</v>
      </c>
      <c r="T35" s="2"/>
      <c r="U35" s="26"/>
      <c r="V35" s="26"/>
      <c r="W35" s="26"/>
      <c r="X35" s="26"/>
      <c r="Y35" s="143"/>
    </row>
    <row r="36">
      <c r="A36" s="2"/>
      <c r="B36" s="108"/>
      <c r="C36" s="132"/>
      <c r="D36" s="132"/>
      <c r="E36" s="132"/>
      <c r="F36" s="109">
        <v>45778.0</v>
      </c>
      <c r="G36" s="135">
        <v>45779.0</v>
      </c>
      <c r="H36" s="109">
        <v>45780.0</v>
      </c>
      <c r="I36" s="2"/>
      <c r="J36" s="109">
        <v>45809.0</v>
      </c>
      <c r="K36" s="134">
        <v>45810.0</v>
      </c>
      <c r="L36" s="134">
        <v>45811.0</v>
      </c>
      <c r="M36" s="135">
        <v>45812.0</v>
      </c>
      <c r="N36" s="134">
        <v>45813.0</v>
      </c>
      <c r="O36" s="135">
        <v>45814.0</v>
      </c>
      <c r="P36" s="109">
        <v>45815.0</v>
      </c>
      <c r="Q36" s="2"/>
      <c r="R36" s="2"/>
      <c r="S36" s="166" t="s">
        <v>81</v>
      </c>
      <c r="T36" s="2"/>
      <c r="U36" s="2"/>
      <c r="V36" s="2"/>
      <c r="W36" s="144"/>
      <c r="X36" s="144"/>
      <c r="Y36" s="145"/>
    </row>
    <row r="37">
      <c r="A37" s="2"/>
      <c r="B37" s="109">
        <v>45781.0</v>
      </c>
      <c r="C37" s="134">
        <v>45782.0</v>
      </c>
      <c r="D37" s="134">
        <v>45783.0</v>
      </c>
      <c r="E37" s="135">
        <v>45784.0</v>
      </c>
      <c r="F37" s="134">
        <v>45785.0</v>
      </c>
      <c r="G37" s="135">
        <v>45786.0</v>
      </c>
      <c r="H37" s="109">
        <v>45787.0</v>
      </c>
      <c r="I37" s="2"/>
      <c r="J37" s="109">
        <v>45816.0</v>
      </c>
      <c r="K37" s="134">
        <v>45817.0</v>
      </c>
      <c r="L37" s="134">
        <v>45818.0</v>
      </c>
      <c r="M37" s="135">
        <v>45819.0</v>
      </c>
      <c r="N37" s="134">
        <v>45820.0</v>
      </c>
      <c r="O37" s="135">
        <v>45821.0</v>
      </c>
      <c r="P37" s="109">
        <v>45822.0</v>
      </c>
      <c r="Q37" s="2"/>
      <c r="R37" s="2"/>
      <c r="S37" s="2" t="s">
        <v>97</v>
      </c>
      <c r="T37" s="2"/>
      <c r="U37" s="2"/>
      <c r="V37" s="2"/>
      <c r="Y37" s="117"/>
    </row>
    <row r="38">
      <c r="A38" s="2"/>
      <c r="B38" s="109">
        <v>45788.0</v>
      </c>
      <c r="C38" s="134">
        <v>45789.0</v>
      </c>
      <c r="D38" s="134">
        <v>45790.0</v>
      </c>
      <c r="E38" s="135">
        <v>45791.0</v>
      </c>
      <c r="F38" s="134">
        <v>45792.0</v>
      </c>
      <c r="G38" s="135">
        <v>45793.0</v>
      </c>
      <c r="H38" s="109">
        <v>45794.0</v>
      </c>
      <c r="I38" s="2"/>
      <c r="J38" s="109">
        <v>45823.0</v>
      </c>
      <c r="K38" s="134">
        <v>45824.0</v>
      </c>
      <c r="L38" s="134">
        <v>45825.0</v>
      </c>
      <c r="M38" s="135">
        <v>45826.0</v>
      </c>
      <c r="N38" s="134">
        <v>45827.0</v>
      </c>
      <c r="O38" s="135">
        <v>45828.0</v>
      </c>
      <c r="P38" s="109">
        <v>45829.0</v>
      </c>
      <c r="Q38" s="2"/>
      <c r="R38" s="2"/>
      <c r="S38" s="69" t="s">
        <v>83</v>
      </c>
      <c r="T38" s="2"/>
      <c r="U38" s="2"/>
      <c r="V38" s="2"/>
      <c r="Y38" s="116"/>
    </row>
    <row r="39">
      <c r="A39" s="2"/>
      <c r="B39" s="109">
        <v>45795.0</v>
      </c>
      <c r="C39" s="134">
        <v>45796.0</v>
      </c>
      <c r="D39" s="134">
        <v>45797.0</v>
      </c>
      <c r="E39" s="135">
        <v>45798.0</v>
      </c>
      <c r="F39" s="134">
        <v>45799.0</v>
      </c>
      <c r="G39" s="135">
        <v>45800.0</v>
      </c>
      <c r="H39" s="109">
        <v>45801.0</v>
      </c>
      <c r="I39" s="2"/>
      <c r="J39" s="109">
        <v>45830.0</v>
      </c>
      <c r="K39" s="134">
        <v>45831.0</v>
      </c>
      <c r="L39" s="109">
        <v>45832.0</v>
      </c>
      <c r="M39" s="135">
        <v>45833.0</v>
      </c>
      <c r="N39" s="134">
        <v>45834.0</v>
      </c>
      <c r="O39" s="135">
        <v>45835.0</v>
      </c>
      <c r="P39" s="109">
        <v>45836.0</v>
      </c>
      <c r="Q39" s="2"/>
      <c r="R39" s="2"/>
      <c r="S39" s="2" t="s">
        <v>98</v>
      </c>
      <c r="T39" s="2"/>
      <c r="U39" s="2"/>
      <c r="V39" s="2"/>
      <c r="W39" s="2"/>
      <c r="X39" s="2"/>
      <c r="Y39" s="116"/>
    </row>
    <row r="40">
      <c r="A40" s="2"/>
      <c r="B40" s="109">
        <v>45802.0</v>
      </c>
      <c r="C40" s="134">
        <v>45803.0</v>
      </c>
      <c r="D40" s="134">
        <v>45804.0</v>
      </c>
      <c r="E40" s="135">
        <v>45805.0</v>
      </c>
      <c r="F40" s="134">
        <v>45806.0</v>
      </c>
      <c r="G40" s="135">
        <v>45807.0</v>
      </c>
      <c r="H40" s="109">
        <v>45808.0</v>
      </c>
      <c r="I40" s="2"/>
      <c r="J40" s="109">
        <v>45837.0</v>
      </c>
      <c r="K40" s="134">
        <v>45838.0</v>
      </c>
      <c r="L40" s="147"/>
      <c r="M40" s="147"/>
      <c r="N40" s="147"/>
      <c r="O40" s="147"/>
      <c r="P40" s="147"/>
      <c r="Q40" s="2"/>
      <c r="R40" s="2"/>
      <c r="S40" s="167" t="s">
        <v>99</v>
      </c>
      <c r="Y40" s="116"/>
    </row>
    <row r="41">
      <c r="A41" s="2"/>
      <c r="B41" s="116"/>
      <c r="C41" s="116"/>
      <c r="D41" s="116"/>
      <c r="E41" s="116"/>
      <c r="F41" s="118" t="s">
        <v>17</v>
      </c>
      <c r="H41" s="119">
        <f>("01:40")*12+("02:30")*9</f>
        <v>1.770833333</v>
      </c>
      <c r="I41" s="2"/>
      <c r="J41" s="2"/>
      <c r="K41" s="2"/>
      <c r="L41" s="2"/>
      <c r="M41" s="2"/>
      <c r="N41" s="118" t="s">
        <v>17</v>
      </c>
      <c r="P41" s="119">
        <f>("01:40")*12+("02:30")*8</f>
        <v>1.666666667</v>
      </c>
      <c r="Q41" s="2"/>
      <c r="R41" s="2"/>
      <c r="Y41" s="116"/>
    </row>
    <row r="42">
      <c r="A42" s="2"/>
      <c r="B42" s="116"/>
      <c r="C42" s="116"/>
      <c r="D42" s="116"/>
      <c r="E42" s="116"/>
      <c r="F42" s="120" t="s">
        <v>18</v>
      </c>
      <c r="G42" s="38"/>
      <c r="H42" s="139">
        <f>"04:00"*21</f>
        <v>3.5</v>
      </c>
      <c r="I42" s="2"/>
      <c r="J42" s="116"/>
      <c r="K42" s="116"/>
      <c r="L42" s="116"/>
      <c r="M42" s="116"/>
      <c r="N42" s="120" t="s">
        <v>18</v>
      </c>
      <c r="O42" s="38"/>
      <c r="P42" s="139">
        <f>"04:00"*20</f>
        <v>3.333333333</v>
      </c>
      <c r="Q42" s="2"/>
      <c r="R42" s="2"/>
      <c r="S42" s="69"/>
      <c r="T42" s="2"/>
      <c r="U42" s="2"/>
      <c r="V42" s="2"/>
      <c r="W42" s="2"/>
      <c r="X42" s="2"/>
      <c r="Y42" s="116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116"/>
    </row>
    <row r="44">
      <c r="A44" s="2"/>
      <c r="B44" s="124"/>
      <c r="C44" s="125"/>
      <c r="D44" s="165" t="s">
        <v>57</v>
      </c>
      <c r="E44" s="65"/>
      <c r="F44" s="65"/>
      <c r="G44" s="125"/>
      <c r="H44" s="127"/>
      <c r="I44" s="2"/>
      <c r="J44" s="124"/>
      <c r="K44" s="125"/>
      <c r="L44" s="165" t="s">
        <v>58</v>
      </c>
      <c r="M44" s="65"/>
      <c r="N44" s="65"/>
      <c r="O44" s="125"/>
      <c r="P44" s="127"/>
      <c r="Q44" s="2"/>
      <c r="R44" s="2"/>
      <c r="S44" s="2"/>
      <c r="T44" s="3"/>
      <c r="U44" s="2"/>
      <c r="V44" s="2"/>
      <c r="W44" s="2"/>
      <c r="X44" s="2"/>
      <c r="Y44" s="2"/>
    </row>
    <row r="45">
      <c r="A45" s="2"/>
      <c r="B45" s="102" t="s">
        <v>3</v>
      </c>
      <c r="C45" s="103" t="s">
        <v>4</v>
      </c>
      <c r="D45" s="103" t="s">
        <v>5</v>
      </c>
      <c r="E45" s="103" t="s">
        <v>6</v>
      </c>
      <c r="F45" s="103" t="s">
        <v>7</v>
      </c>
      <c r="G45" s="103" t="s">
        <v>8</v>
      </c>
      <c r="H45" s="104" t="s">
        <v>9</v>
      </c>
      <c r="I45" s="2"/>
      <c r="J45" s="102" t="s">
        <v>3</v>
      </c>
      <c r="K45" s="103" t="s">
        <v>4</v>
      </c>
      <c r="L45" s="103" t="s">
        <v>5</v>
      </c>
      <c r="M45" s="103" t="s">
        <v>6</v>
      </c>
      <c r="N45" s="103" t="s">
        <v>7</v>
      </c>
      <c r="O45" s="103" t="s">
        <v>8</v>
      </c>
      <c r="P45" s="104" t="s">
        <v>9</v>
      </c>
      <c r="Q45" s="2"/>
      <c r="R45" s="2"/>
      <c r="S45" s="2"/>
      <c r="T45" s="3"/>
      <c r="U45" s="2"/>
      <c r="V45" s="2"/>
      <c r="W45" s="2"/>
      <c r="X45" s="2"/>
      <c r="Y45" s="2"/>
    </row>
    <row r="46">
      <c r="A46" s="2"/>
      <c r="B46" s="108"/>
      <c r="C46" s="108"/>
      <c r="D46" s="134">
        <v>45839.0</v>
      </c>
      <c r="E46" s="135">
        <v>45840.0</v>
      </c>
      <c r="F46" s="134">
        <v>45841.0</v>
      </c>
      <c r="G46" s="135">
        <v>45842.0</v>
      </c>
      <c r="H46" s="109">
        <v>45843.0</v>
      </c>
      <c r="I46" s="2"/>
      <c r="J46" s="108"/>
      <c r="K46" s="133"/>
      <c r="L46" s="133"/>
      <c r="M46" s="133"/>
      <c r="N46" s="133"/>
      <c r="O46" s="135">
        <v>45870.0</v>
      </c>
      <c r="P46" s="109">
        <v>45871.0</v>
      </c>
      <c r="Q46" s="2"/>
      <c r="R46" s="2"/>
      <c r="S46" s="2"/>
      <c r="T46" s="3"/>
      <c r="U46" s="2"/>
      <c r="V46" s="2"/>
      <c r="W46" s="2"/>
      <c r="X46" s="2"/>
      <c r="Y46" s="2"/>
    </row>
    <row r="47">
      <c r="A47" s="2"/>
      <c r="B47" s="109">
        <v>45844.0</v>
      </c>
      <c r="C47" s="134">
        <v>45845.0</v>
      </c>
      <c r="D47" s="134">
        <v>45846.0</v>
      </c>
      <c r="E47" s="135">
        <v>45847.0</v>
      </c>
      <c r="F47" s="134">
        <v>45848.0</v>
      </c>
      <c r="G47" s="135">
        <v>45849.0</v>
      </c>
      <c r="H47" s="109">
        <v>45850.0</v>
      </c>
      <c r="I47" s="2"/>
      <c r="J47" s="109">
        <v>45872.0</v>
      </c>
      <c r="K47" s="134">
        <v>45873.0</v>
      </c>
      <c r="L47" s="134">
        <v>45874.0</v>
      </c>
      <c r="M47" s="135">
        <v>45875.0</v>
      </c>
      <c r="N47" s="134">
        <v>45876.0</v>
      </c>
      <c r="O47" s="135">
        <v>45877.0</v>
      </c>
      <c r="P47" s="109">
        <v>45878.0</v>
      </c>
      <c r="Q47" s="2"/>
      <c r="R47" s="2"/>
      <c r="S47" s="2"/>
      <c r="T47" s="3"/>
      <c r="U47" s="2"/>
      <c r="V47" s="2"/>
      <c r="W47" s="2"/>
      <c r="X47" s="2"/>
      <c r="Y47" s="2"/>
    </row>
    <row r="48">
      <c r="A48" s="2"/>
      <c r="B48" s="109">
        <v>45851.0</v>
      </c>
      <c r="C48" s="148">
        <v>45852.0</v>
      </c>
      <c r="D48" s="148">
        <v>45853.0</v>
      </c>
      <c r="E48" s="148">
        <v>45854.0</v>
      </c>
      <c r="F48" s="148">
        <v>45855.0</v>
      </c>
      <c r="G48" s="148">
        <v>45856.0</v>
      </c>
      <c r="H48" s="109">
        <v>45857.0</v>
      </c>
      <c r="I48" s="2"/>
      <c r="J48" s="109">
        <v>45879.0</v>
      </c>
      <c r="K48" s="134">
        <v>45880.0</v>
      </c>
      <c r="L48" s="134">
        <v>45881.0</v>
      </c>
      <c r="M48" s="135">
        <v>45882.0</v>
      </c>
      <c r="N48" s="134">
        <v>45883.0</v>
      </c>
      <c r="O48" s="135">
        <v>45884.0</v>
      </c>
      <c r="P48" s="109">
        <v>45885.0</v>
      </c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109">
        <v>45858.0</v>
      </c>
      <c r="C49" s="148">
        <v>45859.0</v>
      </c>
      <c r="D49" s="148">
        <v>45860.0</v>
      </c>
      <c r="E49" s="148">
        <v>45861.0</v>
      </c>
      <c r="F49" s="148">
        <v>45862.0</v>
      </c>
      <c r="G49" s="148">
        <v>45863.0</v>
      </c>
      <c r="H49" s="109">
        <v>45864.0</v>
      </c>
      <c r="I49" s="2"/>
      <c r="J49" s="109">
        <v>45886.0</v>
      </c>
      <c r="K49" s="134">
        <v>45887.0</v>
      </c>
      <c r="L49" s="134">
        <v>45888.0</v>
      </c>
      <c r="M49" s="135">
        <v>45889.0</v>
      </c>
      <c r="N49" s="134">
        <v>45890.0</v>
      </c>
      <c r="O49" s="135">
        <v>45891.0</v>
      </c>
      <c r="P49" s="109">
        <v>45892.0</v>
      </c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109">
        <v>45865.0</v>
      </c>
      <c r="C50" s="148">
        <v>45866.0</v>
      </c>
      <c r="D50" s="148">
        <v>45867.0</v>
      </c>
      <c r="E50" s="148">
        <v>45868.0</v>
      </c>
      <c r="F50" s="148">
        <v>45869.0</v>
      </c>
      <c r="G50" s="108"/>
      <c r="H50" s="108"/>
      <c r="I50" s="2"/>
      <c r="J50" s="109">
        <v>45893.0</v>
      </c>
      <c r="K50" s="134">
        <v>45894.0</v>
      </c>
      <c r="L50" s="134">
        <v>45895.0</v>
      </c>
      <c r="M50" s="135">
        <v>45896.0</v>
      </c>
      <c r="N50" s="134">
        <v>45897.0</v>
      </c>
      <c r="O50" s="135">
        <v>45898.0</v>
      </c>
      <c r="P50" s="109">
        <v>45899.0</v>
      </c>
      <c r="Q50" s="2"/>
      <c r="R50" s="2"/>
      <c r="S50" s="2"/>
      <c r="T50" s="2"/>
      <c r="U50" s="2"/>
      <c r="V50" s="2"/>
      <c r="W50" s="2"/>
      <c r="X50" s="2"/>
      <c r="Y50" s="2"/>
    </row>
    <row r="51">
      <c r="A51" s="149"/>
      <c r="B51" s="150" t="s">
        <v>87</v>
      </c>
      <c r="C51" s="151"/>
      <c r="D51" s="152"/>
      <c r="E51" s="153"/>
      <c r="F51" s="118" t="s">
        <v>17</v>
      </c>
      <c r="H51" s="119">
        <f>("01:40")*5+("02:30")*4</f>
        <v>0.7638888889</v>
      </c>
      <c r="I51" s="149"/>
      <c r="J51" s="109">
        <v>45900.0</v>
      </c>
      <c r="K51" s="108"/>
      <c r="L51" s="108"/>
      <c r="M51" s="108"/>
      <c r="N51" s="108"/>
      <c r="O51" s="108"/>
      <c r="P51" s="108"/>
      <c r="Q51" s="2"/>
      <c r="R51" s="3"/>
      <c r="S51" s="2"/>
      <c r="T51" s="2"/>
      <c r="U51" s="2"/>
      <c r="V51" s="2"/>
      <c r="W51" s="2"/>
      <c r="X51" s="2"/>
      <c r="Y51" s="2"/>
    </row>
    <row r="52">
      <c r="A52" s="149"/>
      <c r="B52" s="154"/>
      <c r="C52" s="155"/>
      <c r="D52" s="153"/>
      <c r="E52" s="153"/>
      <c r="F52" s="120" t="s">
        <v>18</v>
      </c>
      <c r="G52" s="38"/>
      <c r="H52" s="139">
        <f>"04:00"*5+"6:00"*14</f>
        <v>4.333333333</v>
      </c>
      <c r="I52" s="149"/>
      <c r="J52" s="149"/>
      <c r="K52" s="149"/>
      <c r="L52" s="149"/>
      <c r="M52" s="118" t="s">
        <v>17</v>
      </c>
      <c r="O52" s="119">
        <f>("01:40")*12+("02:30")*9</f>
        <v>1.770833333</v>
      </c>
      <c r="P52" s="3"/>
      <c r="Q52" s="2"/>
      <c r="R52" s="3"/>
      <c r="S52" s="2"/>
      <c r="T52" s="2"/>
      <c r="U52" s="2"/>
      <c r="V52" s="2"/>
      <c r="W52" s="2"/>
      <c r="X52" s="2"/>
      <c r="Y52" s="2"/>
    </row>
    <row r="53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20" t="s">
        <v>18</v>
      </c>
      <c r="N53" s="38"/>
      <c r="O53" s="139">
        <f>"04:00"*21</f>
        <v>3.5</v>
      </c>
      <c r="P53" s="3"/>
      <c r="Q53" s="2"/>
      <c r="R53" s="3"/>
      <c r="S53" s="2"/>
      <c r="T53" s="94"/>
      <c r="U53" s="2"/>
      <c r="V53" s="2"/>
      <c r="W53" s="2"/>
      <c r="X53" s="2"/>
      <c r="Y53" s="2"/>
    </row>
    <row r="54">
      <c r="A54" s="2"/>
      <c r="B54" s="124"/>
      <c r="C54" s="125"/>
      <c r="D54" s="165" t="s">
        <v>64</v>
      </c>
      <c r="E54" s="65"/>
      <c r="F54" s="65"/>
      <c r="G54" s="125"/>
      <c r="H54" s="127"/>
      <c r="I54" s="2"/>
      <c r="J54" s="124"/>
      <c r="K54" s="125"/>
      <c r="L54" s="165" t="s">
        <v>65</v>
      </c>
      <c r="M54" s="65"/>
      <c r="N54" s="65"/>
      <c r="O54" s="125"/>
      <c r="P54" s="127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102" t="s">
        <v>3</v>
      </c>
      <c r="C55" s="103" t="s">
        <v>4</v>
      </c>
      <c r="D55" s="103" t="s">
        <v>5</v>
      </c>
      <c r="E55" s="103" t="s">
        <v>6</v>
      </c>
      <c r="F55" s="103" t="s">
        <v>7</v>
      </c>
      <c r="G55" s="103" t="s">
        <v>8</v>
      </c>
      <c r="H55" s="104" t="s">
        <v>9</v>
      </c>
      <c r="I55" s="2"/>
      <c r="J55" s="102" t="s">
        <v>3</v>
      </c>
      <c r="K55" s="103" t="s">
        <v>4</v>
      </c>
      <c r="L55" s="103" t="s">
        <v>5</v>
      </c>
      <c r="M55" s="103" t="s">
        <v>6</v>
      </c>
      <c r="N55" s="103" t="s">
        <v>7</v>
      </c>
      <c r="O55" s="103" t="s">
        <v>8</v>
      </c>
      <c r="P55" s="104" t="s">
        <v>9</v>
      </c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105"/>
      <c r="C56" s="134">
        <v>45901.0</v>
      </c>
      <c r="D56" s="134">
        <v>45902.0</v>
      </c>
      <c r="E56" s="135">
        <v>45903.0</v>
      </c>
      <c r="F56" s="134">
        <v>45904.0</v>
      </c>
      <c r="G56" s="135">
        <v>45905.0</v>
      </c>
      <c r="H56" s="109">
        <v>45906.0</v>
      </c>
      <c r="I56" s="2"/>
      <c r="J56" s="105"/>
      <c r="K56" s="105"/>
      <c r="L56" s="105"/>
      <c r="M56" s="135">
        <v>45931.0</v>
      </c>
      <c r="N56" s="134">
        <v>45932.0</v>
      </c>
      <c r="O56" s="109">
        <v>45933.0</v>
      </c>
      <c r="P56" s="109">
        <v>45934.0</v>
      </c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109">
        <v>45907.0</v>
      </c>
      <c r="C57" s="134">
        <v>45908.0</v>
      </c>
      <c r="D57" s="134">
        <v>45909.0</v>
      </c>
      <c r="E57" s="135">
        <v>45910.0</v>
      </c>
      <c r="F57" s="134">
        <v>45911.0</v>
      </c>
      <c r="G57" s="135">
        <v>45912.0</v>
      </c>
      <c r="H57" s="109">
        <v>45913.0</v>
      </c>
      <c r="I57" s="2"/>
      <c r="J57" s="109">
        <v>45935.0</v>
      </c>
      <c r="K57" s="134">
        <v>45936.0</v>
      </c>
      <c r="L57" s="134">
        <v>45937.0</v>
      </c>
      <c r="M57" s="135">
        <v>45938.0</v>
      </c>
      <c r="N57" s="134">
        <v>45939.0</v>
      </c>
      <c r="O57" s="135">
        <v>45940.0</v>
      </c>
      <c r="P57" s="109">
        <v>45941.0</v>
      </c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109">
        <v>45914.0</v>
      </c>
      <c r="C58" s="134">
        <v>45915.0</v>
      </c>
      <c r="D58" s="134">
        <v>45916.0</v>
      </c>
      <c r="E58" s="135">
        <v>45917.0</v>
      </c>
      <c r="F58" s="134">
        <v>45918.0</v>
      </c>
      <c r="G58" s="135">
        <v>45919.0</v>
      </c>
      <c r="H58" s="109">
        <v>45920.0</v>
      </c>
      <c r="I58" s="2"/>
      <c r="J58" s="109">
        <v>45942.0</v>
      </c>
      <c r="K58" s="134">
        <v>45943.0</v>
      </c>
      <c r="L58" s="134">
        <v>45944.0</v>
      </c>
      <c r="M58" s="135">
        <v>45945.0</v>
      </c>
      <c r="N58" s="134">
        <v>45946.0</v>
      </c>
      <c r="O58" s="135">
        <v>45947.0</v>
      </c>
      <c r="P58" s="109">
        <v>45948.0</v>
      </c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109">
        <v>45921.0</v>
      </c>
      <c r="C59" s="134">
        <v>45922.0</v>
      </c>
      <c r="D59" s="134">
        <v>45923.0</v>
      </c>
      <c r="E59" s="135">
        <v>45924.0</v>
      </c>
      <c r="F59" s="134">
        <v>45925.0</v>
      </c>
      <c r="G59" s="135">
        <v>45926.0</v>
      </c>
      <c r="H59" s="109">
        <v>45927.0</v>
      </c>
      <c r="I59" s="2"/>
      <c r="J59" s="109">
        <v>45949.0</v>
      </c>
      <c r="K59" s="134">
        <v>45950.0</v>
      </c>
      <c r="L59" s="134">
        <v>45951.0</v>
      </c>
      <c r="M59" s="135">
        <v>45952.0</v>
      </c>
      <c r="N59" s="134">
        <v>45953.0</v>
      </c>
      <c r="O59" s="135">
        <v>45954.0</v>
      </c>
      <c r="P59" s="109">
        <v>45955.0</v>
      </c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109">
        <v>45928.0</v>
      </c>
      <c r="C60" s="134">
        <v>45929.0</v>
      </c>
      <c r="D60" s="134">
        <v>45930.0</v>
      </c>
      <c r="E60" s="137"/>
      <c r="F60" s="137"/>
      <c r="G60" s="137"/>
      <c r="H60" s="137"/>
      <c r="I60" s="2"/>
      <c r="J60" s="109">
        <v>45956.0</v>
      </c>
      <c r="K60" s="134">
        <v>45957.0</v>
      </c>
      <c r="L60" s="134">
        <v>45958.0</v>
      </c>
      <c r="M60" s="168">
        <v>45959.0</v>
      </c>
      <c r="N60" s="168">
        <v>45960.0</v>
      </c>
      <c r="O60" s="168">
        <v>45961.0</v>
      </c>
      <c r="P60" s="138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155"/>
      <c r="C61" s="155"/>
      <c r="D61" s="155"/>
      <c r="E61" s="155"/>
      <c r="F61" s="118" t="s">
        <v>17</v>
      </c>
      <c r="H61" s="119">
        <f>("01:40")*14+("02:30")*8</f>
        <v>1.805555556</v>
      </c>
      <c r="I61" s="149"/>
      <c r="J61" s="155"/>
      <c r="K61" s="155"/>
      <c r="L61" s="155"/>
      <c r="M61" s="153"/>
      <c r="N61" s="118" t="s">
        <v>17</v>
      </c>
      <c r="P61" s="119">
        <f>("01:40")*12+("02:30")*7</f>
        <v>1.5625</v>
      </c>
      <c r="Q61" s="149"/>
      <c r="R61" s="2"/>
      <c r="S61" s="2"/>
      <c r="T61" s="2"/>
      <c r="U61" s="2"/>
      <c r="V61" s="2"/>
      <c r="W61" s="2"/>
      <c r="X61" s="2"/>
      <c r="Y61" s="2"/>
    </row>
    <row r="62">
      <c r="A62" s="2"/>
      <c r="B62" s="155"/>
      <c r="C62" s="155"/>
      <c r="D62" s="155"/>
      <c r="E62" s="155"/>
      <c r="F62" s="120" t="s">
        <v>18</v>
      </c>
      <c r="G62" s="38"/>
      <c r="H62" s="139">
        <f>"04:00"*22</f>
        <v>3.666666667</v>
      </c>
      <c r="I62" s="149"/>
      <c r="J62" s="155"/>
      <c r="K62" s="155"/>
      <c r="L62" s="155"/>
      <c r="M62" s="153"/>
      <c r="N62" s="120" t="s">
        <v>18</v>
      </c>
      <c r="O62" s="38"/>
      <c r="P62" s="139">
        <f>"04:00"*19+"05:00"*3</f>
        <v>3.791666667</v>
      </c>
      <c r="Q62" s="149"/>
      <c r="R62" s="2"/>
      <c r="S62" s="2"/>
      <c r="T62" s="2"/>
      <c r="U62" s="2"/>
      <c r="V62" s="2"/>
      <c r="W62" s="2"/>
      <c r="X62" s="2"/>
      <c r="Y62" s="2"/>
    </row>
    <row r="63">
      <c r="A63" s="2"/>
      <c r="B63" s="155"/>
      <c r="C63" s="155"/>
      <c r="D63" s="155"/>
      <c r="E63" s="155"/>
      <c r="F63" s="155"/>
      <c r="G63" s="155"/>
      <c r="H63" s="154"/>
      <c r="I63" s="149"/>
      <c r="J63" s="155"/>
      <c r="K63" s="155"/>
      <c r="L63" s="155"/>
      <c r="M63" s="153"/>
      <c r="N63" s="153"/>
      <c r="O63" s="153"/>
      <c r="P63" s="153"/>
      <c r="Q63" s="149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124"/>
      <c r="C65" s="125"/>
      <c r="D65" s="165" t="s">
        <v>67</v>
      </c>
      <c r="E65" s="65"/>
      <c r="F65" s="65"/>
      <c r="G65" s="125"/>
      <c r="H65" s="127"/>
      <c r="I65" s="2"/>
      <c r="J65" s="124"/>
      <c r="K65" s="125"/>
      <c r="L65" s="165" t="s">
        <v>68</v>
      </c>
      <c r="M65" s="65"/>
      <c r="N65" s="65"/>
      <c r="O65" s="125"/>
      <c r="P65" s="127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102" t="s">
        <v>3</v>
      </c>
      <c r="C66" s="103" t="s">
        <v>4</v>
      </c>
      <c r="D66" s="103" t="s">
        <v>5</v>
      </c>
      <c r="E66" s="103" t="s">
        <v>6</v>
      </c>
      <c r="F66" s="103" t="s">
        <v>7</v>
      </c>
      <c r="G66" s="103" t="s">
        <v>8</v>
      </c>
      <c r="H66" s="104" t="s">
        <v>9</v>
      </c>
      <c r="I66" s="2"/>
      <c r="J66" s="102" t="s">
        <v>3</v>
      </c>
      <c r="K66" s="103" t="s">
        <v>4</v>
      </c>
      <c r="L66" s="103" t="s">
        <v>5</v>
      </c>
      <c r="M66" s="103" t="s">
        <v>6</v>
      </c>
      <c r="N66" s="103" t="s">
        <v>7</v>
      </c>
      <c r="O66" s="103" t="s">
        <v>8</v>
      </c>
      <c r="P66" s="104" t="s">
        <v>9</v>
      </c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108"/>
      <c r="C67" s="132"/>
      <c r="D67" s="132"/>
      <c r="E67" s="132"/>
      <c r="F67" s="132"/>
      <c r="G67" s="132"/>
      <c r="H67" s="109">
        <v>45962.0</v>
      </c>
      <c r="I67" s="2"/>
      <c r="J67" s="108"/>
      <c r="K67" s="168">
        <v>45992.0</v>
      </c>
      <c r="L67" s="168">
        <v>45993.0</v>
      </c>
      <c r="M67" s="168">
        <v>45994.0</v>
      </c>
      <c r="N67" s="168">
        <v>45995.0</v>
      </c>
      <c r="O67" s="110">
        <v>45996.0</v>
      </c>
      <c r="P67" s="109">
        <v>45997.0</v>
      </c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109">
        <v>45963.0</v>
      </c>
      <c r="C68" s="168">
        <v>45964.0</v>
      </c>
      <c r="D68" s="168">
        <v>45965.0</v>
      </c>
      <c r="E68" s="168">
        <v>45966.0</v>
      </c>
      <c r="F68" s="168">
        <v>45967.0</v>
      </c>
      <c r="G68" s="168">
        <v>45968.0</v>
      </c>
      <c r="H68" s="109">
        <v>45969.0</v>
      </c>
      <c r="I68" s="2"/>
      <c r="J68" s="109">
        <v>45998.0</v>
      </c>
      <c r="K68" s="158">
        <v>45999.0</v>
      </c>
      <c r="L68" s="158">
        <v>46000.0</v>
      </c>
      <c r="M68" s="158">
        <v>46001.0</v>
      </c>
      <c r="N68" s="158">
        <v>46002.0</v>
      </c>
      <c r="O68" s="158">
        <v>46003.0</v>
      </c>
      <c r="P68" s="109">
        <v>46004.0</v>
      </c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109">
        <v>45970.0</v>
      </c>
      <c r="C69" s="168">
        <v>45971.0</v>
      </c>
      <c r="D69" s="168">
        <v>45972.0</v>
      </c>
      <c r="E69" s="168">
        <v>45973.0</v>
      </c>
      <c r="F69" s="168">
        <v>45974.0</v>
      </c>
      <c r="G69" s="168">
        <v>45975.0</v>
      </c>
      <c r="H69" s="109">
        <v>45976.0</v>
      </c>
      <c r="I69" s="2"/>
      <c r="J69" s="109">
        <v>46005.0</v>
      </c>
      <c r="K69" s="158">
        <v>46006.0</v>
      </c>
      <c r="L69" s="158">
        <v>46007.0</v>
      </c>
      <c r="M69" s="158">
        <v>46008.0</v>
      </c>
      <c r="N69" s="158">
        <v>46009.0</v>
      </c>
      <c r="O69" s="158">
        <v>46010.0</v>
      </c>
      <c r="P69" s="109">
        <v>46011.0</v>
      </c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109">
        <v>45977.0</v>
      </c>
      <c r="C70" s="168">
        <v>45978.0</v>
      </c>
      <c r="D70" s="168">
        <v>45979.0</v>
      </c>
      <c r="E70" s="168">
        <v>45980.0</v>
      </c>
      <c r="F70" s="109">
        <v>45981.0</v>
      </c>
      <c r="G70" s="168">
        <v>45982.0</v>
      </c>
      <c r="H70" s="109">
        <v>45983.0</v>
      </c>
      <c r="I70" s="2"/>
      <c r="J70" s="109">
        <v>46012.0</v>
      </c>
      <c r="K70" s="158">
        <v>46013.0</v>
      </c>
      <c r="L70" s="158">
        <v>46014.0</v>
      </c>
      <c r="M70" s="158">
        <v>46015.0</v>
      </c>
      <c r="N70" s="109">
        <v>46016.0</v>
      </c>
      <c r="O70" s="158">
        <v>46017.0</v>
      </c>
      <c r="P70" s="109">
        <v>46018.0</v>
      </c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109">
        <v>45984.0</v>
      </c>
      <c r="C71" s="168">
        <v>45985.0</v>
      </c>
      <c r="D71" s="168">
        <v>45986.0</v>
      </c>
      <c r="E71" s="168">
        <v>45987.0</v>
      </c>
      <c r="F71" s="168">
        <v>45988.0</v>
      </c>
      <c r="G71" s="168">
        <v>45989.0</v>
      </c>
      <c r="H71" s="109">
        <v>45990.0</v>
      </c>
      <c r="I71" s="2"/>
      <c r="J71" s="109">
        <v>46019.0</v>
      </c>
      <c r="K71" s="158">
        <v>46020.0</v>
      </c>
      <c r="L71" s="158">
        <v>46021.0</v>
      </c>
      <c r="M71" s="158">
        <v>46022.0</v>
      </c>
      <c r="N71" s="137"/>
      <c r="O71" s="137"/>
      <c r="P71" s="138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109">
        <v>45991.0</v>
      </c>
      <c r="C72" s="2"/>
      <c r="D72" s="2"/>
      <c r="E72" s="2"/>
      <c r="F72" s="2"/>
      <c r="G72" s="2"/>
      <c r="H72" s="3"/>
      <c r="I72" s="149"/>
      <c r="J72" s="2"/>
      <c r="K72" s="2"/>
      <c r="L72" s="2"/>
      <c r="M72" s="2"/>
      <c r="N72" s="118" t="s">
        <v>17</v>
      </c>
      <c r="P72" s="61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118" t="s">
        <v>17</v>
      </c>
      <c r="H73" s="159">
        <v>0.0</v>
      </c>
      <c r="I73" s="149"/>
      <c r="J73" s="2"/>
      <c r="K73" s="2"/>
      <c r="L73" s="2"/>
      <c r="M73" s="2"/>
      <c r="N73" s="120" t="s">
        <v>18</v>
      </c>
      <c r="O73" s="38"/>
      <c r="P73" s="139">
        <f>"05:00"*4+"02:00"</f>
        <v>0.9166666667</v>
      </c>
      <c r="Q73" s="149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120" t="s">
        <v>18</v>
      </c>
      <c r="G74" s="38"/>
      <c r="H74" s="139">
        <f>"05:00"*19</f>
        <v>3.958333333</v>
      </c>
      <c r="I74" s="2"/>
      <c r="J74" s="2"/>
      <c r="K74" s="2"/>
      <c r="L74" s="2"/>
      <c r="M74" s="2"/>
      <c r="N74" s="2"/>
      <c r="O74" s="2"/>
      <c r="P74" s="2"/>
      <c r="Q74" s="149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</sheetData>
  <mergeCells count="39">
    <mergeCell ref="B12:P12"/>
    <mergeCell ref="D14:F14"/>
    <mergeCell ref="L14:N14"/>
    <mergeCell ref="M21:N21"/>
    <mergeCell ref="M22:N22"/>
    <mergeCell ref="D23:F23"/>
    <mergeCell ref="L23:N23"/>
    <mergeCell ref="X36:X38"/>
    <mergeCell ref="S40:X41"/>
    <mergeCell ref="N30:O30"/>
    <mergeCell ref="E31:F31"/>
    <mergeCell ref="N31:O31"/>
    <mergeCell ref="E32:F32"/>
    <mergeCell ref="D34:F34"/>
    <mergeCell ref="L34:N34"/>
    <mergeCell ref="W36:W38"/>
    <mergeCell ref="F51:G51"/>
    <mergeCell ref="F52:G52"/>
    <mergeCell ref="D54:F54"/>
    <mergeCell ref="F61:G61"/>
    <mergeCell ref="F62:G62"/>
    <mergeCell ref="D65:F65"/>
    <mergeCell ref="F73:G73"/>
    <mergeCell ref="F74:G74"/>
    <mergeCell ref="M52:N52"/>
    <mergeCell ref="M53:N53"/>
    <mergeCell ref="L54:N54"/>
    <mergeCell ref="N61:O61"/>
    <mergeCell ref="N62:O62"/>
    <mergeCell ref="L65:N65"/>
    <mergeCell ref="N72:O72"/>
    <mergeCell ref="N73:O73"/>
    <mergeCell ref="F41:G41"/>
    <mergeCell ref="N41:O41"/>
    <mergeCell ref="F42:G42"/>
    <mergeCell ref="N42:O42"/>
    <mergeCell ref="D44:F44"/>
    <mergeCell ref="L44:N44"/>
    <mergeCell ref="B51:D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8" width="6.71"/>
    <col customWidth="1" min="9" max="9" width="4.71"/>
    <col customWidth="1" min="10" max="16" width="6.71"/>
    <col customWidth="1" min="17" max="17" width="3.86"/>
    <col customWidth="1" min="18" max="18" width="8.71"/>
    <col customWidth="1" min="19" max="19" width="5.86"/>
    <col customWidth="1" min="20" max="20" width="17.14"/>
    <col customWidth="1" min="21" max="21" width="9.43"/>
    <col customWidth="1" min="22" max="22" width="8.14"/>
    <col customWidth="1" min="23" max="23" width="16.71"/>
    <col customWidth="1" min="24" max="24" width="19.29"/>
    <col customWidth="1" min="25" max="31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2"/>
      <c r="S1" s="2"/>
      <c r="T1" s="2"/>
      <c r="U1" s="2"/>
      <c r="V1" s="2"/>
      <c r="W1" s="2"/>
      <c r="X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2"/>
      <c r="S2" s="2"/>
      <c r="T2" s="2"/>
      <c r="U2" s="2"/>
      <c r="V2" s="2"/>
      <c r="W2" s="2"/>
      <c r="X2" s="2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2"/>
      <c r="S3" s="2"/>
      <c r="T3" s="2"/>
      <c r="U3" s="2"/>
      <c r="V3" s="2"/>
      <c r="W3" s="2"/>
      <c r="X3" s="2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2"/>
      <c r="S4" s="2"/>
      <c r="T4" s="2"/>
      <c r="U4" s="2"/>
      <c r="V4" s="2"/>
      <c r="W4" s="2"/>
      <c r="X4" s="2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2"/>
      <c r="S5" s="2"/>
      <c r="T5" s="2"/>
      <c r="U5" s="2"/>
      <c r="V5" s="2"/>
      <c r="W5" s="2"/>
      <c r="X5" s="2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2"/>
      <c r="S6" s="2"/>
      <c r="T6" s="2"/>
      <c r="U6" s="2"/>
      <c r="V6" s="2"/>
      <c r="W6" s="2"/>
      <c r="X6" s="2"/>
    </row>
    <row r="7">
      <c r="B7" s="4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2"/>
      <c r="S7" s="2"/>
      <c r="T7" s="2"/>
      <c r="U7" s="2"/>
      <c r="V7" s="2"/>
      <c r="W7" s="2"/>
      <c r="X7" s="2"/>
    </row>
    <row r="8"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2"/>
      <c r="S8" s="2"/>
      <c r="T8" s="2"/>
      <c r="U8" s="2"/>
      <c r="V8" s="2"/>
      <c r="W8" s="2"/>
      <c r="X8" s="2"/>
    </row>
    <row r="9"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2"/>
      <c r="S9" s="2"/>
      <c r="T9" s="2"/>
      <c r="U9" s="2"/>
      <c r="V9" s="2"/>
      <c r="W9" s="2"/>
      <c r="X9" s="2"/>
    </row>
    <row r="10">
      <c r="B10" s="1"/>
      <c r="D10" s="1"/>
      <c r="R10" s="2"/>
      <c r="S10" s="2"/>
      <c r="T10" s="2"/>
      <c r="U10" s="2"/>
      <c r="V10" s="2"/>
      <c r="W10" s="2"/>
      <c r="X10" s="2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2"/>
      <c r="S11" s="2"/>
      <c r="T11" s="2"/>
      <c r="U11" s="2"/>
      <c r="V11" s="2"/>
      <c r="W11" s="2"/>
      <c r="X11" s="2"/>
    </row>
    <row r="12">
      <c r="B12" s="5"/>
      <c r="C12" s="6"/>
      <c r="D12" s="7" t="s">
        <v>48</v>
      </c>
      <c r="E12" s="8"/>
      <c r="F12" s="8"/>
      <c r="G12" s="6"/>
      <c r="H12" s="9"/>
      <c r="J12" s="10"/>
      <c r="K12" s="6"/>
      <c r="L12" s="7" t="s">
        <v>49</v>
      </c>
      <c r="M12" s="8"/>
      <c r="N12" s="8"/>
      <c r="O12" s="6"/>
      <c r="P12" s="11"/>
      <c r="R12" s="12"/>
      <c r="S12" s="13" t="s">
        <v>2</v>
      </c>
      <c r="T12" s="14"/>
      <c r="U12" s="14"/>
      <c r="V12" s="14"/>
      <c r="W12" s="14"/>
      <c r="X12" s="14"/>
    </row>
    <row r="13">
      <c r="B13" s="15" t="s">
        <v>3</v>
      </c>
      <c r="C13" s="16" t="s">
        <v>4</v>
      </c>
      <c r="D13" s="16" t="s">
        <v>5</v>
      </c>
      <c r="E13" s="16" t="s">
        <v>6</v>
      </c>
      <c r="F13" s="16" t="s">
        <v>7</v>
      </c>
      <c r="G13" s="16" t="s">
        <v>8</v>
      </c>
      <c r="H13" s="17" t="s">
        <v>9</v>
      </c>
      <c r="J13" s="15" t="s">
        <v>3</v>
      </c>
      <c r="K13" s="16" t="s">
        <v>4</v>
      </c>
      <c r="L13" s="16" t="s">
        <v>5</v>
      </c>
      <c r="M13" s="16" t="s">
        <v>6</v>
      </c>
      <c r="N13" s="16" t="s">
        <v>7</v>
      </c>
      <c r="O13" s="16" t="s">
        <v>8</v>
      </c>
      <c r="P13" s="17" t="s">
        <v>9</v>
      </c>
      <c r="R13" s="12"/>
      <c r="S13" s="14"/>
      <c r="T13" s="14"/>
      <c r="U13" s="14"/>
      <c r="V13" s="14"/>
      <c r="W13" s="14"/>
      <c r="X13" s="14"/>
    </row>
    <row r="14">
      <c r="B14" s="18"/>
      <c r="C14" s="18"/>
      <c r="D14" s="18"/>
      <c r="E14" s="19">
        <v>45658.0</v>
      </c>
      <c r="F14" s="87">
        <v>45659.0</v>
      </c>
      <c r="G14" s="87">
        <v>45660.0</v>
      </c>
      <c r="H14" s="19">
        <v>45661.0</v>
      </c>
      <c r="J14" s="30"/>
      <c r="K14" s="30"/>
      <c r="L14" s="30"/>
      <c r="M14" s="30"/>
      <c r="N14" s="30"/>
      <c r="O14" s="30"/>
      <c r="P14" s="50">
        <v>45689.0</v>
      </c>
      <c r="R14" s="12"/>
      <c r="S14" s="25"/>
      <c r="T14" s="14" t="s">
        <v>10</v>
      </c>
      <c r="U14" s="14"/>
      <c r="V14" s="14"/>
      <c r="W14" s="14"/>
      <c r="X14" s="14"/>
      <c r="Z14" s="26" t="s">
        <v>11</v>
      </c>
    </row>
    <row r="15">
      <c r="B15" s="19">
        <v>45662.0</v>
      </c>
      <c r="C15" s="87">
        <v>45663.0</v>
      </c>
      <c r="D15" s="87">
        <v>45664.0</v>
      </c>
      <c r="E15" s="87">
        <v>45665.0</v>
      </c>
      <c r="F15" s="87">
        <v>45666.0</v>
      </c>
      <c r="G15" s="87">
        <v>45667.0</v>
      </c>
      <c r="H15" s="19">
        <v>45668.0</v>
      </c>
      <c r="J15" s="50">
        <v>45690.0</v>
      </c>
      <c r="K15" s="49">
        <v>45691.0</v>
      </c>
      <c r="L15" s="49">
        <v>45692.0</v>
      </c>
      <c r="M15" s="49">
        <v>45693.0</v>
      </c>
      <c r="N15" s="49">
        <v>45694.0</v>
      </c>
      <c r="O15" s="49">
        <v>45695.0</v>
      </c>
      <c r="P15" s="50">
        <v>45696.0</v>
      </c>
      <c r="Q15" s="27" t="s">
        <v>12</v>
      </c>
      <c r="R15" s="12"/>
      <c r="S15" s="14"/>
      <c r="T15" s="14"/>
      <c r="U15" s="14"/>
      <c r="V15" s="14"/>
      <c r="W15" s="14"/>
      <c r="X15" s="14"/>
      <c r="Z15" s="2"/>
    </row>
    <row r="16">
      <c r="B16" s="19">
        <v>45669.0</v>
      </c>
      <c r="C16" s="87">
        <v>45670.0</v>
      </c>
      <c r="D16" s="87">
        <v>45671.0</v>
      </c>
      <c r="E16" s="87">
        <v>45672.0</v>
      </c>
      <c r="F16" s="87">
        <v>45673.0</v>
      </c>
      <c r="G16" s="87">
        <v>45674.0</v>
      </c>
      <c r="H16" s="19">
        <v>45675.0</v>
      </c>
      <c r="J16" s="50">
        <v>45697.0</v>
      </c>
      <c r="K16" s="49">
        <v>45698.0</v>
      </c>
      <c r="L16" s="49">
        <v>45699.0</v>
      </c>
      <c r="M16" s="49">
        <v>45700.0</v>
      </c>
      <c r="N16" s="49">
        <v>45701.0</v>
      </c>
      <c r="O16" s="49">
        <v>45702.0</v>
      </c>
      <c r="P16" s="50">
        <v>45703.0</v>
      </c>
      <c r="R16" s="12"/>
      <c r="S16" s="28"/>
      <c r="T16" s="14" t="s">
        <v>13</v>
      </c>
      <c r="U16" s="14"/>
      <c r="V16" s="14"/>
      <c r="W16" s="14"/>
      <c r="X16" s="14"/>
      <c r="Z16" s="26" t="s">
        <v>14</v>
      </c>
    </row>
    <row r="17">
      <c r="B17" s="19">
        <v>45676.0</v>
      </c>
      <c r="C17" s="87">
        <v>45677.0</v>
      </c>
      <c r="D17" s="87">
        <v>45678.0</v>
      </c>
      <c r="E17" s="87">
        <v>45679.0</v>
      </c>
      <c r="F17" s="87">
        <v>45680.0</v>
      </c>
      <c r="G17" s="87">
        <v>45681.0</v>
      </c>
      <c r="H17" s="19">
        <v>45682.0</v>
      </c>
      <c r="J17" s="50">
        <v>45704.0</v>
      </c>
      <c r="K17" s="49">
        <v>45705.0</v>
      </c>
      <c r="L17" s="49">
        <v>45706.0</v>
      </c>
      <c r="M17" s="49">
        <v>45707.0</v>
      </c>
      <c r="N17" s="49">
        <v>45708.0</v>
      </c>
      <c r="O17" s="49">
        <v>45709.0</v>
      </c>
      <c r="P17" s="50">
        <v>45710.0</v>
      </c>
      <c r="R17" s="12"/>
      <c r="S17" s="14"/>
      <c r="T17" s="14"/>
      <c r="U17" s="14"/>
      <c r="V17" s="14"/>
      <c r="W17" s="14"/>
      <c r="X17" s="14"/>
      <c r="Z17" s="2"/>
    </row>
    <row r="18">
      <c r="B18" s="50">
        <v>45683.0</v>
      </c>
      <c r="C18" s="49">
        <v>45684.0</v>
      </c>
      <c r="D18" s="49">
        <v>45685.0</v>
      </c>
      <c r="E18" s="49">
        <v>45686.0</v>
      </c>
      <c r="F18" s="49">
        <v>45687.0</v>
      </c>
      <c r="G18" s="49">
        <v>45688.0</v>
      </c>
      <c r="H18" s="90"/>
      <c r="J18" s="50">
        <v>45711.0</v>
      </c>
      <c r="K18" s="49">
        <v>45712.0</v>
      </c>
      <c r="L18" s="49">
        <v>45713.0</v>
      </c>
      <c r="M18" s="49">
        <v>45714.0</v>
      </c>
      <c r="N18" s="49">
        <v>45715.0</v>
      </c>
      <c r="O18" s="49">
        <v>45716.0</v>
      </c>
      <c r="P18" s="30"/>
      <c r="R18" s="12"/>
      <c r="S18" s="31"/>
      <c r="T18" s="14" t="s">
        <v>15</v>
      </c>
      <c r="U18" s="14"/>
      <c r="V18" s="14"/>
      <c r="W18" s="14"/>
      <c r="X18" s="14"/>
      <c r="Z18" s="26" t="s">
        <v>16</v>
      </c>
    </row>
    <row r="19">
      <c r="B19" s="32"/>
      <c r="C19" s="32"/>
      <c r="D19" s="32"/>
      <c r="E19" s="33"/>
      <c r="F19" s="33"/>
      <c r="G19" s="33"/>
      <c r="H19" s="33"/>
      <c r="J19" s="32"/>
      <c r="K19" s="32"/>
      <c r="L19" s="32"/>
      <c r="M19" s="34" t="s">
        <v>17</v>
      </c>
      <c r="O19" s="35"/>
      <c r="P19" s="33"/>
      <c r="R19" s="12"/>
      <c r="S19" s="14"/>
      <c r="T19" s="14"/>
      <c r="U19" s="14"/>
      <c r="V19" s="14"/>
      <c r="W19" s="14"/>
      <c r="X19" s="14"/>
      <c r="Z19" s="2"/>
    </row>
    <row r="20">
      <c r="B20" s="36"/>
      <c r="C20" s="36"/>
      <c r="D20" s="36"/>
      <c r="E20" s="36"/>
      <c r="F20" s="36"/>
      <c r="G20" s="36"/>
      <c r="H20" s="36"/>
      <c r="J20" s="36"/>
      <c r="K20" s="36"/>
      <c r="L20" s="36"/>
      <c r="M20" s="37" t="s">
        <v>18</v>
      </c>
      <c r="N20" s="38"/>
      <c r="O20" s="39"/>
      <c r="P20" s="36"/>
      <c r="R20" s="12"/>
      <c r="S20" s="40"/>
      <c r="T20" s="41" t="s">
        <v>19</v>
      </c>
      <c r="U20" s="14"/>
      <c r="V20" s="14"/>
      <c r="W20" s="14"/>
      <c r="X20" s="14"/>
      <c r="Z20" s="26" t="s">
        <v>20</v>
      </c>
    </row>
    <row r="21">
      <c r="B21" s="42"/>
      <c r="C21" s="43"/>
      <c r="D21" s="44" t="s">
        <v>50</v>
      </c>
      <c r="E21" s="45"/>
      <c r="F21" s="45"/>
      <c r="G21" s="43"/>
      <c r="H21" s="46"/>
      <c r="J21" s="42"/>
      <c r="K21" s="43"/>
      <c r="L21" s="44" t="s">
        <v>51</v>
      </c>
      <c r="M21" s="45"/>
      <c r="N21" s="45"/>
      <c r="O21" s="43"/>
      <c r="P21" s="46"/>
      <c r="R21" s="12"/>
      <c r="S21" s="14"/>
      <c r="T21" s="14"/>
      <c r="U21" s="14"/>
      <c r="V21" s="14"/>
      <c r="W21" s="2"/>
      <c r="X21" s="2"/>
    </row>
    <row r="22">
      <c r="B22" s="15" t="s">
        <v>3</v>
      </c>
      <c r="C22" s="16" t="s">
        <v>4</v>
      </c>
      <c r="D22" s="16" t="s">
        <v>5</v>
      </c>
      <c r="E22" s="16" t="s">
        <v>6</v>
      </c>
      <c r="F22" s="16" t="s">
        <v>7</v>
      </c>
      <c r="G22" s="16" t="s">
        <v>8</v>
      </c>
      <c r="H22" s="17" t="s">
        <v>9</v>
      </c>
      <c r="J22" s="15" t="s">
        <v>3</v>
      </c>
      <c r="K22" s="16" t="s">
        <v>4</v>
      </c>
      <c r="L22" s="16" t="s">
        <v>5</v>
      </c>
      <c r="M22" s="16" t="s">
        <v>6</v>
      </c>
      <c r="N22" s="16" t="s">
        <v>7</v>
      </c>
      <c r="O22" s="16" t="s">
        <v>8</v>
      </c>
      <c r="P22" s="17" t="s">
        <v>9</v>
      </c>
      <c r="R22" s="12"/>
      <c r="S22" s="59"/>
      <c r="T22" s="48" t="s">
        <v>73</v>
      </c>
      <c r="U22" s="14"/>
      <c r="V22" s="14"/>
      <c r="W22" s="2"/>
      <c r="X22" s="2"/>
    </row>
    <row r="23">
      <c r="B23" s="30"/>
      <c r="C23" s="74"/>
      <c r="D23" s="74"/>
      <c r="E23" s="74"/>
      <c r="F23" s="66"/>
      <c r="G23" s="66"/>
      <c r="H23" s="50">
        <v>45717.0</v>
      </c>
      <c r="J23" s="30"/>
      <c r="K23" s="30"/>
      <c r="L23" s="49">
        <v>45748.0</v>
      </c>
      <c r="M23" s="49">
        <v>45749.0</v>
      </c>
      <c r="N23" s="49">
        <v>45750.0</v>
      </c>
      <c r="O23" s="49">
        <v>45751.0</v>
      </c>
      <c r="P23" s="50">
        <v>45752.0</v>
      </c>
      <c r="R23" s="12"/>
      <c r="S23" s="2"/>
      <c r="T23" s="2"/>
      <c r="U23" s="14"/>
      <c r="V23" s="14"/>
      <c r="W23" s="2"/>
      <c r="X23" s="2"/>
    </row>
    <row r="24">
      <c r="B24" s="50">
        <v>45718.0</v>
      </c>
      <c r="C24" s="50">
        <v>45719.0</v>
      </c>
      <c r="D24" s="50">
        <v>45720.0</v>
      </c>
      <c r="E24" s="50">
        <v>45721.0</v>
      </c>
      <c r="F24" s="49">
        <v>45722.0</v>
      </c>
      <c r="G24" s="49">
        <v>45723.0</v>
      </c>
      <c r="H24" s="50">
        <v>45724.0</v>
      </c>
      <c r="I24" s="51"/>
      <c r="J24" s="50">
        <v>45753.0</v>
      </c>
      <c r="K24" s="49">
        <v>45754.0</v>
      </c>
      <c r="L24" s="49">
        <v>45755.0</v>
      </c>
      <c r="M24" s="49">
        <v>45756.0</v>
      </c>
      <c r="N24" s="49">
        <v>45757.0</v>
      </c>
      <c r="O24" s="49">
        <v>45758.0</v>
      </c>
      <c r="P24" s="50">
        <v>45759.0</v>
      </c>
      <c r="R24" s="12"/>
      <c r="S24" s="164"/>
      <c r="T24" s="48" t="s">
        <v>93</v>
      </c>
      <c r="U24" s="53"/>
      <c r="V24" s="53"/>
      <c r="W24" s="53"/>
      <c r="X24" s="2"/>
    </row>
    <row r="25">
      <c r="B25" s="50">
        <v>45725.0</v>
      </c>
      <c r="C25" s="49">
        <v>45726.0</v>
      </c>
      <c r="D25" s="49">
        <v>45727.0</v>
      </c>
      <c r="E25" s="49">
        <v>45728.0</v>
      </c>
      <c r="F25" s="49">
        <v>45729.0</v>
      </c>
      <c r="G25" s="49">
        <v>45730.0</v>
      </c>
      <c r="H25" s="50">
        <v>45731.0</v>
      </c>
      <c r="I25" s="51"/>
      <c r="J25" s="50">
        <v>45760.0</v>
      </c>
      <c r="K25" s="49">
        <v>45761.0</v>
      </c>
      <c r="L25" s="49">
        <v>45762.0</v>
      </c>
      <c r="M25" s="49">
        <v>45763.0</v>
      </c>
      <c r="N25" s="49">
        <v>45764.0</v>
      </c>
      <c r="O25" s="50">
        <v>45765.0</v>
      </c>
      <c r="P25" s="50">
        <v>45766.0</v>
      </c>
      <c r="R25" s="12"/>
      <c r="S25" s="2"/>
      <c r="T25" s="2"/>
      <c r="U25" s="53"/>
      <c r="V25" s="53"/>
      <c r="W25" s="53"/>
      <c r="X25" s="2"/>
    </row>
    <row r="26">
      <c r="B26" s="50">
        <v>45732.0</v>
      </c>
      <c r="C26" s="49">
        <v>45733.0</v>
      </c>
      <c r="D26" s="49">
        <v>45734.0</v>
      </c>
      <c r="E26" s="49">
        <v>45735.0</v>
      </c>
      <c r="F26" s="49">
        <v>45736.0</v>
      </c>
      <c r="G26" s="49">
        <v>45737.0</v>
      </c>
      <c r="H26" s="50">
        <v>45738.0</v>
      </c>
      <c r="I26" s="51"/>
      <c r="J26" s="50">
        <v>45767.0</v>
      </c>
      <c r="K26" s="50">
        <v>45768.0</v>
      </c>
      <c r="L26" s="49">
        <v>45769.0</v>
      </c>
      <c r="M26" s="49">
        <v>45770.0</v>
      </c>
      <c r="N26" s="49">
        <v>45771.0</v>
      </c>
      <c r="O26" s="49">
        <v>45772.0</v>
      </c>
      <c r="P26" s="50">
        <v>45773.0</v>
      </c>
      <c r="R26" s="54"/>
      <c r="S26" s="55"/>
      <c r="T26" s="2" t="s">
        <v>74</v>
      </c>
      <c r="U26" s="14"/>
      <c r="V26" s="14"/>
      <c r="W26" s="14"/>
      <c r="X26" s="14"/>
    </row>
    <row r="27">
      <c r="B27" s="50">
        <v>45739.0</v>
      </c>
      <c r="C27" s="49">
        <v>45740.0</v>
      </c>
      <c r="D27" s="49">
        <v>45741.0</v>
      </c>
      <c r="E27" s="49">
        <v>45742.0</v>
      </c>
      <c r="F27" s="49">
        <v>45743.0</v>
      </c>
      <c r="G27" s="49">
        <v>45744.0</v>
      </c>
      <c r="H27" s="50">
        <v>45745.0</v>
      </c>
      <c r="I27" s="51"/>
      <c r="J27" s="50">
        <v>45774.0</v>
      </c>
      <c r="K27" s="49">
        <v>45775.0</v>
      </c>
      <c r="L27" s="49">
        <v>45776.0</v>
      </c>
      <c r="M27" s="49">
        <v>45777.0</v>
      </c>
      <c r="N27" s="56"/>
      <c r="O27" s="56"/>
      <c r="P27" s="57"/>
      <c r="R27" s="54"/>
      <c r="S27" s="26"/>
      <c r="T27" s="26"/>
      <c r="U27" s="14"/>
      <c r="V27" s="14"/>
      <c r="W27" s="14"/>
      <c r="X27" s="14"/>
    </row>
    <row r="28">
      <c r="B28" s="50">
        <v>45746.0</v>
      </c>
      <c r="C28" s="49">
        <v>45747.0</v>
      </c>
      <c r="D28" s="56"/>
      <c r="E28" s="56"/>
      <c r="F28" s="56"/>
      <c r="G28" s="56"/>
      <c r="H28" s="57"/>
      <c r="J28" s="36"/>
      <c r="K28" s="36"/>
      <c r="L28" s="36"/>
      <c r="M28" s="36"/>
      <c r="N28" s="34" t="s">
        <v>17</v>
      </c>
      <c r="P28" s="58"/>
      <c r="R28" s="54"/>
      <c r="S28" s="31"/>
      <c r="T28" s="130" t="s">
        <v>100</v>
      </c>
      <c r="U28" s="14"/>
      <c r="V28" s="14"/>
      <c r="W28" s="14"/>
      <c r="X28" s="14"/>
    </row>
    <row r="29">
      <c r="B29" s="36"/>
      <c r="C29" s="36"/>
      <c r="D29" s="36"/>
      <c r="E29" s="34" t="s">
        <v>17</v>
      </c>
      <c r="G29" s="35"/>
      <c r="H29" s="36"/>
      <c r="N29" s="37" t="s">
        <v>18</v>
      </c>
      <c r="O29" s="38"/>
      <c r="P29" s="39"/>
      <c r="R29" s="54"/>
      <c r="S29" s="2"/>
      <c r="T29" s="2"/>
      <c r="U29" s="61"/>
      <c r="V29" s="14"/>
      <c r="W29" s="14"/>
      <c r="X29" s="14"/>
    </row>
    <row r="30">
      <c r="B30" s="36"/>
      <c r="C30" s="36"/>
      <c r="D30" s="36"/>
      <c r="E30" s="37" t="s">
        <v>18</v>
      </c>
      <c r="F30" s="38"/>
      <c r="G30" s="60"/>
      <c r="H30" s="36"/>
      <c r="J30" s="32"/>
      <c r="K30" s="33"/>
      <c r="L30" s="33"/>
      <c r="M30" s="33"/>
      <c r="R30" s="54"/>
      <c r="S30" s="142"/>
      <c r="T30" s="48" t="s">
        <v>95</v>
      </c>
      <c r="U30" s="61"/>
      <c r="V30" s="14"/>
      <c r="W30" s="14"/>
      <c r="X30" s="14"/>
    </row>
    <row r="31" ht="15.75" customHeight="1">
      <c r="J31" s="36"/>
      <c r="K31" s="36"/>
      <c r="L31" s="36"/>
      <c r="M31" s="36"/>
      <c r="R31" s="54"/>
      <c r="S31" s="2"/>
      <c r="V31" s="14"/>
      <c r="W31" s="14"/>
      <c r="X31" s="14"/>
    </row>
    <row r="32" ht="15.75" customHeight="1">
      <c r="B32" s="42"/>
      <c r="C32" s="43"/>
      <c r="D32" s="64" t="s">
        <v>53</v>
      </c>
      <c r="E32" s="65"/>
      <c r="F32" s="65"/>
      <c r="G32" s="43"/>
      <c r="H32" s="46"/>
      <c r="J32" s="42"/>
      <c r="K32" s="43"/>
      <c r="L32" s="64" t="s">
        <v>54</v>
      </c>
      <c r="M32" s="65"/>
      <c r="N32" s="65"/>
      <c r="O32" s="43"/>
      <c r="P32" s="46"/>
      <c r="R32" s="54"/>
      <c r="S32" s="2"/>
      <c r="T32" s="62" t="s">
        <v>27</v>
      </c>
      <c r="U32" s="63">
        <f>SUM(O19+G29+P28+H39+P39+H49+O50+H59+P59+H71+P70)</f>
        <v>16.66666667</v>
      </c>
      <c r="V32" s="14"/>
      <c r="W32" s="14"/>
      <c r="X32" s="14"/>
    </row>
    <row r="33" ht="15.75" customHeight="1">
      <c r="B33" s="15" t="s">
        <v>3</v>
      </c>
      <c r="C33" s="16" t="s">
        <v>4</v>
      </c>
      <c r="D33" s="16" t="s">
        <v>5</v>
      </c>
      <c r="E33" s="16" t="s">
        <v>6</v>
      </c>
      <c r="F33" s="16" t="s">
        <v>7</v>
      </c>
      <c r="G33" s="16" t="s">
        <v>8</v>
      </c>
      <c r="H33" s="17" t="s">
        <v>9</v>
      </c>
      <c r="J33" s="15" t="s">
        <v>3</v>
      </c>
      <c r="K33" s="16" t="s">
        <v>4</v>
      </c>
      <c r="L33" s="16" t="s">
        <v>5</v>
      </c>
      <c r="M33" s="16" t="s">
        <v>6</v>
      </c>
      <c r="N33" s="16" t="s">
        <v>7</v>
      </c>
      <c r="O33" s="16" t="s">
        <v>8</v>
      </c>
      <c r="P33" s="17" t="s">
        <v>9</v>
      </c>
      <c r="R33" s="54"/>
      <c r="S33" s="2"/>
      <c r="T33" s="14"/>
      <c r="U33" s="61"/>
      <c r="V33" s="14"/>
      <c r="W33" s="14"/>
      <c r="X33" s="14"/>
    </row>
    <row r="34" ht="15.75" customHeight="1">
      <c r="B34" s="30"/>
      <c r="C34" s="74"/>
      <c r="D34" s="74"/>
      <c r="E34" s="74"/>
      <c r="F34" s="50">
        <v>45778.0</v>
      </c>
      <c r="G34" s="49">
        <v>45779.0</v>
      </c>
      <c r="H34" s="50">
        <v>45780.0</v>
      </c>
      <c r="J34" s="50">
        <v>45809.0</v>
      </c>
      <c r="K34" s="169">
        <v>45810.0</v>
      </c>
      <c r="L34" s="169">
        <v>45811.0</v>
      </c>
      <c r="M34" s="169">
        <v>45812.0</v>
      </c>
      <c r="N34" s="169">
        <v>45813.0</v>
      </c>
      <c r="O34" s="169">
        <v>45814.0</v>
      </c>
      <c r="P34" s="50">
        <v>45815.0</v>
      </c>
      <c r="R34" s="54"/>
      <c r="S34" s="2"/>
      <c r="T34" s="62" t="s">
        <v>30</v>
      </c>
      <c r="U34" s="63">
        <f>SUM(O20+G30+P29+H40+P40+H50+O51+H60+P60+H72+P71)</f>
        <v>16.66666667</v>
      </c>
      <c r="V34" s="2"/>
      <c r="W34" s="67"/>
      <c r="X34" s="67"/>
    </row>
    <row r="35" ht="15.75" customHeight="1">
      <c r="B35" s="50">
        <v>45781.0</v>
      </c>
      <c r="C35" s="49">
        <v>45782.0</v>
      </c>
      <c r="D35" s="49">
        <v>45783.0</v>
      </c>
      <c r="E35" s="49">
        <v>45784.0</v>
      </c>
      <c r="F35" s="49">
        <v>45785.0</v>
      </c>
      <c r="G35" s="49">
        <v>45786.0</v>
      </c>
      <c r="H35" s="50">
        <v>45787.0</v>
      </c>
      <c r="I35" s="67"/>
      <c r="J35" s="50">
        <v>45816.0</v>
      </c>
      <c r="K35" s="169">
        <v>45817.0</v>
      </c>
      <c r="L35" s="169">
        <v>45818.0</v>
      </c>
      <c r="M35" s="169">
        <v>45819.0</v>
      </c>
      <c r="N35" s="169">
        <v>45820.0</v>
      </c>
      <c r="O35" s="169">
        <v>45821.0</v>
      </c>
      <c r="P35" s="50">
        <v>45822.0</v>
      </c>
      <c r="R35" s="3">
        <f>"2:30"*2+"4:00"*2+"05:00"*3</f>
        <v>1.166666667</v>
      </c>
      <c r="S35" s="2"/>
      <c r="T35" s="26"/>
      <c r="U35" s="26"/>
      <c r="V35" s="2"/>
    </row>
    <row r="36" ht="15.75" customHeight="1">
      <c r="B36" s="50">
        <v>45788.0</v>
      </c>
      <c r="C36" s="49">
        <v>45789.0</v>
      </c>
      <c r="D36" s="49">
        <v>45790.0</v>
      </c>
      <c r="E36" s="49">
        <v>45791.0</v>
      </c>
      <c r="F36" s="49">
        <v>45792.0</v>
      </c>
      <c r="G36" s="49">
        <v>45793.0</v>
      </c>
      <c r="H36" s="50">
        <v>45794.0</v>
      </c>
      <c r="I36" s="67"/>
      <c r="J36" s="50">
        <v>45823.0</v>
      </c>
      <c r="K36" s="169">
        <v>45824.0</v>
      </c>
      <c r="L36" s="169">
        <v>45825.0</v>
      </c>
      <c r="M36" s="169">
        <v>45826.0</v>
      </c>
      <c r="N36" s="169">
        <v>45827.0</v>
      </c>
      <c r="O36" s="169">
        <v>45828.0</v>
      </c>
      <c r="P36" s="50">
        <v>45829.0</v>
      </c>
      <c r="R36" s="54"/>
      <c r="S36" s="2"/>
      <c r="T36" s="68" t="s">
        <v>31</v>
      </c>
      <c r="U36" s="63">
        <f>SUM(U32+U34)</f>
        <v>33.33333333</v>
      </c>
      <c r="V36" s="2"/>
    </row>
    <row r="37" ht="15.75" customHeight="1">
      <c r="B37" s="50">
        <v>45795.0</v>
      </c>
      <c r="C37" s="49">
        <v>45796.0</v>
      </c>
      <c r="D37" s="49">
        <v>45797.0</v>
      </c>
      <c r="E37" s="49">
        <v>45798.0</v>
      </c>
      <c r="F37" s="49">
        <v>45799.0</v>
      </c>
      <c r="G37" s="49">
        <v>45800.0</v>
      </c>
      <c r="H37" s="50">
        <v>45801.0</v>
      </c>
      <c r="I37" s="67"/>
      <c r="J37" s="50">
        <v>45830.0</v>
      </c>
      <c r="K37" s="169">
        <v>45831.0</v>
      </c>
      <c r="L37" s="50">
        <v>45832.0</v>
      </c>
      <c r="M37" s="169">
        <v>45833.0</v>
      </c>
      <c r="N37" s="169">
        <v>45834.0</v>
      </c>
      <c r="O37" s="169">
        <v>45835.0</v>
      </c>
      <c r="P37" s="50">
        <v>45836.0</v>
      </c>
      <c r="R37" s="54"/>
      <c r="S37" s="69"/>
      <c r="T37" s="2"/>
      <c r="U37" s="2"/>
      <c r="V37" s="2"/>
      <c r="W37" s="2"/>
      <c r="X37" s="2"/>
    </row>
    <row r="38" ht="15.75" customHeight="1">
      <c r="B38" s="50">
        <v>45802.0</v>
      </c>
      <c r="C38" s="170">
        <v>45803.0</v>
      </c>
      <c r="D38" s="171">
        <v>45804.0</v>
      </c>
      <c r="E38" s="169">
        <v>45805.0</v>
      </c>
      <c r="F38" s="169">
        <v>45806.0</v>
      </c>
      <c r="G38" s="169">
        <v>45807.0</v>
      </c>
      <c r="H38" s="50">
        <v>45808.0</v>
      </c>
      <c r="J38" s="50">
        <v>45837.0</v>
      </c>
      <c r="K38" s="169">
        <v>45838.0</v>
      </c>
      <c r="L38" s="91"/>
      <c r="M38" s="91"/>
      <c r="N38" s="91"/>
      <c r="O38" s="91"/>
      <c r="P38" s="91"/>
      <c r="R38" s="54"/>
      <c r="S38" s="70" t="s">
        <v>32</v>
      </c>
      <c r="T38" s="2"/>
      <c r="U38" s="2"/>
      <c r="V38" s="2"/>
      <c r="W38" s="2"/>
      <c r="X38" s="2"/>
    </row>
    <row r="39" ht="15.75" customHeight="1">
      <c r="B39" s="32"/>
      <c r="C39" s="32"/>
      <c r="D39" s="32"/>
      <c r="E39" s="32"/>
      <c r="F39" s="34" t="s">
        <v>17</v>
      </c>
      <c r="H39" s="119">
        <f>("05:00")*3+"04:10"</f>
        <v>0.7986111111</v>
      </c>
      <c r="I39" s="67"/>
      <c r="N39" s="34" t="s">
        <v>17</v>
      </c>
      <c r="P39" s="119">
        <f>("05:00")*20</f>
        <v>4.166666667</v>
      </c>
      <c r="R39" s="54"/>
      <c r="S39" s="71" t="s">
        <v>101</v>
      </c>
      <c r="T39" s="2"/>
      <c r="U39" s="2"/>
      <c r="V39" s="2"/>
      <c r="W39" s="2"/>
      <c r="X39" s="2"/>
    </row>
    <row r="40" ht="15.75" customHeight="1">
      <c r="B40" s="32"/>
      <c r="C40" s="32"/>
      <c r="D40" s="32"/>
      <c r="E40" s="32"/>
      <c r="F40" s="37" t="s">
        <v>18</v>
      </c>
      <c r="G40" s="38"/>
      <c r="H40" s="39"/>
      <c r="I40" s="67"/>
      <c r="J40" s="32"/>
      <c r="K40" s="32"/>
      <c r="L40" s="32"/>
      <c r="M40" s="32"/>
      <c r="N40" s="37" t="s">
        <v>18</v>
      </c>
      <c r="O40" s="38"/>
      <c r="P40" s="139"/>
      <c r="R40" s="54"/>
      <c r="S40" s="71" t="s">
        <v>102</v>
      </c>
      <c r="T40" s="2"/>
      <c r="U40" s="2"/>
      <c r="V40" s="2"/>
      <c r="W40" s="2"/>
      <c r="X40" s="2"/>
    </row>
    <row r="41" ht="15.75" customHeight="1">
      <c r="B41" s="36"/>
      <c r="C41" s="36"/>
      <c r="D41" s="36"/>
      <c r="E41" s="36"/>
      <c r="J41" s="36"/>
      <c r="K41" s="36"/>
      <c r="L41" s="36"/>
      <c r="M41" s="36"/>
      <c r="R41" s="54"/>
      <c r="S41" s="2"/>
      <c r="T41" s="2"/>
      <c r="U41" s="2"/>
      <c r="V41" s="2"/>
      <c r="W41" s="2"/>
      <c r="X41" s="2"/>
    </row>
    <row r="42" ht="15.75" customHeight="1">
      <c r="B42" s="42"/>
      <c r="C42" s="43"/>
      <c r="D42" s="64" t="s">
        <v>57</v>
      </c>
      <c r="E42" s="65"/>
      <c r="F42" s="65"/>
      <c r="G42" s="43"/>
      <c r="H42" s="46"/>
      <c r="J42" s="42"/>
      <c r="K42" s="43"/>
      <c r="L42" s="64" t="s">
        <v>58</v>
      </c>
      <c r="M42" s="65"/>
      <c r="N42" s="65"/>
      <c r="O42" s="43"/>
      <c r="P42" s="46"/>
      <c r="R42" s="54"/>
      <c r="S42" s="72" t="s">
        <v>37</v>
      </c>
    </row>
    <row r="43" ht="15.75" customHeight="1">
      <c r="B43" s="15" t="s">
        <v>3</v>
      </c>
      <c r="C43" s="16" t="s">
        <v>4</v>
      </c>
      <c r="D43" s="16" t="s">
        <v>5</v>
      </c>
      <c r="E43" s="16" t="s">
        <v>6</v>
      </c>
      <c r="F43" s="16" t="s">
        <v>7</v>
      </c>
      <c r="G43" s="16" t="s">
        <v>8</v>
      </c>
      <c r="H43" s="17" t="s">
        <v>9</v>
      </c>
      <c r="J43" s="15" t="s">
        <v>3</v>
      </c>
      <c r="K43" s="16" t="s">
        <v>4</v>
      </c>
      <c r="L43" s="16" t="s">
        <v>5</v>
      </c>
      <c r="M43" s="16" t="s">
        <v>6</v>
      </c>
      <c r="N43" s="16" t="s">
        <v>7</v>
      </c>
      <c r="O43" s="16" t="s">
        <v>8</v>
      </c>
      <c r="P43" s="17" t="s">
        <v>9</v>
      </c>
      <c r="R43" s="54"/>
      <c r="S43" s="73" t="s">
        <v>103</v>
      </c>
    </row>
    <row r="44" ht="15.75" customHeight="1">
      <c r="B44" s="30"/>
      <c r="C44" s="30"/>
      <c r="D44" s="169">
        <v>45839.0</v>
      </c>
      <c r="E44" s="169">
        <v>45840.0</v>
      </c>
      <c r="F44" s="169">
        <v>45841.0</v>
      </c>
      <c r="G44" s="169">
        <v>45842.0</v>
      </c>
      <c r="H44" s="50">
        <v>45843.0</v>
      </c>
      <c r="J44" s="30"/>
      <c r="K44" s="66"/>
      <c r="L44" s="66"/>
      <c r="M44" s="66"/>
      <c r="N44" s="66"/>
      <c r="O44" s="169">
        <v>45870.0</v>
      </c>
      <c r="P44" s="50">
        <v>45871.0</v>
      </c>
      <c r="R44" s="54"/>
      <c r="S44" s="75" t="s">
        <v>104</v>
      </c>
    </row>
    <row r="45" ht="15.75" customHeight="1">
      <c r="B45" s="50">
        <v>45844.0</v>
      </c>
      <c r="C45" s="169">
        <v>45845.0</v>
      </c>
      <c r="D45" s="169">
        <v>45846.0</v>
      </c>
      <c r="E45" s="169">
        <v>45847.0</v>
      </c>
      <c r="F45" s="169">
        <v>45848.0</v>
      </c>
      <c r="G45" s="169">
        <v>45849.0</v>
      </c>
      <c r="H45" s="50">
        <v>45850.0</v>
      </c>
      <c r="J45" s="50">
        <v>45872.0</v>
      </c>
      <c r="K45" s="169">
        <v>45873.0</v>
      </c>
      <c r="L45" s="169">
        <v>45874.0</v>
      </c>
      <c r="M45" s="169">
        <v>45875.0</v>
      </c>
      <c r="N45" s="169">
        <v>45876.0</v>
      </c>
      <c r="O45" s="169">
        <v>45877.0</v>
      </c>
      <c r="P45" s="50">
        <v>45878.0</v>
      </c>
      <c r="R45" s="54"/>
    </row>
    <row r="46" ht="15.75" customHeight="1">
      <c r="B46" s="50">
        <v>45851.0</v>
      </c>
      <c r="C46" s="172">
        <v>45852.0</v>
      </c>
      <c r="D46" s="172">
        <v>45853.0</v>
      </c>
      <c r="E46" s="172">
        <v>45854.0</v>
      </c>
      <c r="F46" s="172">
        <v>45855.0</v>
      </c>
      <c r="G46" s="172">
        <v>45856.0</v>
      </c>
      <c r="H46" s="50">
        <v>45857.0</v>
      </c>
      <c r="J46" s="50">
        <v>45879.0</v>
      </c>
      <c r="K46" s="169">
        <v>45880.0</v>
      </c>
      <c r="L46" s="169">
        <v>45881.0</v>
      </c>
      <c r="M46" s="169">
        <v>45882.0</v>
      </c>
      <c r="N46" s="173">
        <v>45883.0</v>
      </c>
      <c r="O46" s="173">
        <v>45884.0</v>
      </c>
      <c r="P46" s="50">
        <v>45885.0</v>
      </c>
      <c r="R46" s="54"/>
      <c r="S46" s="73" t="s">
        <v>105</v>
      </c>
    </row>
    <row r="47" ht="15.75" customHeight="1">
      <c r="B47" s="50">
        <v>45858.0</v>
      </c>
      <c r="C47" s="172">
        <v>45859.0</v>
      </c>
      <c r="D47" s="172">
        <v>45860.0</v>
      </c>
      <c r="E47" s="172">
        <v>45861.0</v>
      </c>
      <c r="F47" s="172">
        <v>45862.0</v>
      </c>
      <c r="G47" s="172">
        <v>45863.0</v>
      </c>
      <c r="H47" s="50">
        <v>45864.0</v>
      </c>
      <c r="J47" s="50">
        <v>45886.0</v>
      </c>
      <c r="K47" s="174">
        <v>45887.0</v>
      </c>
      <c r="L47" s="174">
        <v>45888.0</v>
      </c>
      <c r="M47" s="173">
        <v>45889.0</v>
      </c>
      <c r="N47" s="174">
        <v>45890.0</v>
      </c>
      <c r="O47" s="173">
        <v>45891.0</v>
      </c>
      <c r="P47" s="50">
        <v>45892.0</v>
      </c>
      <c r="R47" s="54"/>
    </row>
    <row r="48" ht="15.75" customHeight="1">
      <c r="B48" s="50">
        <v>45865.0</v>
      </c>
      <c r="C48" s="169">
        <v>45866.0</v>
      </c>
      <c r="D48" s="169">
        <v>45867.0</v>
      </c>
      <c r="E48" s="169">
        <v>45868.0</v>
      </c>
      <c r="F48" s="169">
        <v>45869.0</v>
      </c>
      <c r="G48" s="30"/>
      <c r="H48" s="30"/>
      <c r="J48" s="50">
        <v>45893.0</v>
      </c>
      <c r="K48" s="174">
        <v>45894.0</v>
      </c>
      <c r="L48" s="174">
        <v>45895.0</v>
      </c>
      <c r="M48" s="173">
        <v>45896.0</v>
      </c>
      <c r="N48" s="174">
        <v>45897.0</v>
      </c>
      <c r="O48" s="173">
        <v>45898.0</v>
      </c>
      <c r="P48" s="50">
        <v>45899.0</v>
      </c>
      <c r="R48" s="54"/>
      <c r="S48" s="77" t="s">
        <v>106</v>
      </c>
    </row>
    <row r="49" ht="15.75" customHeight="1">
      <c r="A49" s="78"/>
      <c r="B49" s="79"/>
      <c r="C49" s="79"/>
      <c r="D49" s="80"/>
      <c r="E49" s="80"/>
      <c r="F49" s="34" t="s">
        <v>17</v>
      </c>
      <c r="H49" s="119">
        <f>("05:00")*13</f>
        <v>2.708333333</v>
      </c>
      <c r="I49" s="78"/>
      <c r="J49" s="50">
        <v>45900.0</v>
      </c>
      <c r="K49" s="30"/>
      <c r="L49" s="30"/>
      <c r="M49" s="30"/>
      <c r="N49" s="30"/>
      <c r="O49" s="30"/>
      <c r="P49" s="30"/>
      <c r="R49" s="54"/>
    </row>
    <row r="50" ht="15.75" customHeight="1">
      <c r="A50" s="78"/>
      <c r="B50" s="82"/>
      <c r="C50" s="79"/>
      <c r="D50" s="80"/>
      <c r="E50" s="80"/>
      <c r="F50" s="37" t="s">
        <v>18</v>
      </c>
      <c r="G50" s="38"/>
      <c r="H50" s="139">
        <f>"06:00"*10</f>
        <v>2.5</v>
      </c>
      <c r="I50" s="78"/>
      <c r="J50" s="84"/>
      <c r="K50" s="84"/>
      <c r="L50" s="84"/>
      <c r="M50" s="34" t="s">
        <v>17</v>
      </c>
      <c r="O50" s="119">
        <f>("01:40")*6+("02:30")*6+"05:00"*9</f>
        <v>2.916666667</v>
      </c>
      <c r="P50" s="36"/>
      <c r="R50" s="54"/>
    </row>
    <row r="51" ht="15.75" customHeight="1">
      <c r="A51" s="78"/>
      <c r="B51" s="84"/>
      <c r="C51" s="84"/>
      <c r="D51" s="84"/>
      <c r="E51" s="84"/>
      <c r="F51" s="84"/>
      <c r="G51" s="84"/>
      <c r="H51" s="84"/>
      <c r="I51" s="78"/>
      <c r="J51" s="78"/>
      <c r="K51" s="78"/>
      <c r="L51" s="78"/>
      <c r="M51" s="37" t="s">
        <v>18</v>
      </c>
      <c r="N51" s="38"/>
      <c r="O51" s="139">
        <f>"04:00"*12</f>
        <v>2</v>
      </c>
      <c r="P51" s="36"/>
      <c r="R51" s="54"/>
      <c r="S51" s="77" t="s">
        <v>107</v>
      </c>
    </row>
    <row r="52" ht="15.75" customHeight="1">
      <c r="B52" s="42"/>
      <c r="C52" s="43"/>
      <c r="D52" s="64" t="s">
        <v>64</v>
      </c>
      <c r="E52" s="65"/>
      <c r="F52" s="65"/>
      <c r="G52" s="43"/>
      <c r="H52" s="46"/>
      <c r="J52" s="42"/>
      <c r="K52" s="43"/>
      <c r="L52" s="64" t="s">
        <v>65</v>
      </c>
      <c r="M52" s="65"/>
      <c r="N52" s="65"/>
      <c r="O52" s="43"/>
      <c r="P52" s="46"/>
      <c r="R52" s="54"/>
    </row>
    <row r="53" ht="15.75" customHeight="1">
      <c r="B53" s="15" t="s">
        <v>3</v>
      </c>
      <c r="C53" s="16" t="s">
        <v>4</v>
      </c>
      <c r="D53" s="16" t="s">
        <v>5</v>
      </c>
      <c r="E53" s="16" t="s">
        <v>6</v>
      </c>
      <c r="F53" s="16" t="s">
        <v>7</v>
      </c>
      <c r="G53" s="16" t="s">
        <v>8</v>
      </c>
      <c r="H53" s="17" t="s">
        <v>9</v>
      </c>
      <c r="J53" s="15" t="s">
        <v>3</v>
      </c>
      <c r="K53" s="16" t="s">
        <v>4</v>
      </c>
      <c r="L53" s="16" t="s">
        <v>5</v>
      </c>
      <c r="M53" s="16" t="s">
        <v>6</v>
      </c>
      <c r="N53" s="16" t="s">
        <v>7</v>
      </c>
      <c r="O53" s="16" t="s">
        <v>8</v>
      </c>
      <c r="P53" s="17" t="s">
        <v>9</v>
      </c>
      <c r="R53" s="54"/>
    </row>
    <row r="54" ht="15.75" customHeight="1">
      <c r="B54" s="18"/>
      <c r="C54" s="174">
        <v>45901.0</v>
      </c>
      <c r="D54" s="174">
        <v>45902.0</v>
      </c>
      <c r="E54" s="173">
        <v>45903.0</v>
      </c>
      <c r="F54" s="174">
        <v>45904.0</v>
      </c>
      <c r="G54" s="173">
        <v>45905.0</v>
      </c>
      <c r="H54" s="50">
        <v>45906.0</v>
      </c>
      <c r="J54" s="18"/>
      <c r="K54" s="18"/>
      <c r="L54" s="18"/>
      <c r="M54" s="173">
        <v>45931.0</v>
      </c>
      <c r="N54" s="174">
        <v>45932.0</v>
      </c>
      <c r="O54" s="50">
        <v>45933.0</v>
      </c>
      <c r="P54" s="50">
        <v>45934.0</v>
      </c>
      <c r="R54" s="54"/>
    </row>
    <row r="55" ht="15.75" customHeight="1">
      <c r="B55" s="50">
        <v>45907.0</v>
      </c>
      <c r="C55" s="174">
        <v>45908.0</v>
      </c>
      <c r="D55" s="174">
        <v>45909.0</v>
      </c>
      <c r="E55" s="173">
        <v>45910.0</v>
      </c>
      <c r="F55" s="174">
        <v>45911.0</v>
      </c>
      <c r="G55" s="173">
        <v>45912.0</v>
      </c>
      <c r="H55" s="50">
        <v>45913.0</v>
      </c>
      <c r="J55" s="50">
        <v>45935.0</v>
      </c>
      <c r="K55" s="174">
        <v>45936.0</v>
      </c>
      <c r="L55" s="174">
        <v>45937.0</v>
      </c>
      <c r="M55" s="173">
        <v>45938.0</v>
      </c>
      <c r="N55" s="174">
        <v>45939.0</v>
      </c>
      <c r="O55" s="173">
        <v>45940.0</v>
      </c>
      <c r="P55" s="50">
        <v>45941.0</v>
      </c>
      <c r="R55" s="54"/>
    </row>
    <row r="56" ht="15.75" customHeight="1">
      <c r="B56" s="50">
        <v>45914.0</v>
      </c>
      <c r="C56" s="174">
        <v>45915.0</v>
      </c>
      <c r="D56" s="174">
        <v>45916.0</v>
      </c>
      <c r="E56" s="173">
        <v>45917.0</v>
      </c>
      <c r="F56" s="174">
        <v>45918.0</v>
      </c>
      <c r="G56" s="173">
        <v>45919.0</v>
      </c>
      <c r="H56" s="50">
        <v>45920.0</v>
      </c>
      <c r="J56" s="50">
        <v>45942.0</v>
      </c>
      <c r="K56" s="174">
        <v>45943.0</v>
      </c>
      <c r="L56" s="174">
        <v>45944.0</v>
      </c>
      <c r="M56" s="173">
        <v>45945.0</v>
      </c>
      <c r="N56" s="174">
        <v>45946.0</v>
      </c>
      <c r="O56" s="173">
        <v>45947.0</v>
      </c>
      <c r="P56" s="50">
        <v>45948.0</v>
      </c>
      <c r="R56" s="54"/>
    </row>
    <row r="57" ht="15.75" customHeight="1">
      <c r="B57" s="50">
        <v>45921.0</v>
      </c>
      <c r="C57" s="174">
        <v>45922.0</v>
      </c>
      <c r="D57" s="174">
        <v>45923.0</v>
      </c>
      <c r="E57" s="173">
        <v>45924.0</v>
      </c>
      <c r="F57" s="174">
        <v>45925.0</v>
      </c>
      <c r="G57" s="173">
        <v>45926.0</v>
      </c>
      <c r="H57" s="50">
        <v>45927.0</v>
      </c>
      <c r="J57" s="50">
        <v>45949.0</v>
      </c>
      <c r="K57" s="174">
        <v>45950.0</v>
      </c>
      <c r="L57" s="174">
        <v>45951.0</v>
      </c>
      <c r="M57" s="173">
        <v>45952.0</v>
      </c>
      <c r="N57" s="174">
        <v>45953.0</v>
      </c>
      <c r="O57" s="173">
        <v>45954.0</v>
      </c>
      <c r="P57" s="50">
        <v>45955.0</v>
      </c>
      <c r="R57" s="54"/>
    </row>
    <row r="58" ht="15.75" customHeight="1">
      <c r="B58" s="50">
        <v>45928.0</v>
      </c>
      <c r="C58" s="174">
        <v>45929.0</v>
      </c>
      <c r="D58" s="174">
        <v>45930.0</v>
      </c>
      <c r="E58" s="56"/>
      <c r="F58" s="56"/>
      <c r="G58" s="56"/>
      <c r="H58" s="56"/>
      <c r="J58" s="50">
        <v>45956.0</v>
      </c>
      <c r="K58" s="174">
        <v>45957.0</v>
      </c>
      <c r="L58" s="174">
        <v>45958.0</v>
      </c>
      <c r="M58" s="173">
        <v>45959.0</v>
      </c>
      <c r="N58" s="174">
        <v>45960.0</v>
      </c>
      <c r="O58" s="173">
        <v>45961.0</v>
      </c>
      <c r="P58" s="57"/>
      <c r="R58" s="2"/>
      <c r="S58" s="73" t="s">
        <v>108</v>
      </c>
    </row>
    <row r="59" ht="15.75" customHeight="1">
      <c r="B59" s="79"/>
      <c r="C59" s="79"/>
      <c r="D59" s="79"/>
      <c r="E59" s="79"/>
      <c r="F59" s="34" t="s">
        <v>17</v>
      </c>
      <c r="H59" s="119">
        <f>("01:40")*14+("02:30")*8</f>
        <v>1.805555556</v>
      </c>
      <c r="I59" s="78"/>
      <c r="J59" s="79"/>
      <c r="K59" s="79"/>
      <c r="L59" s="79"/>
      <c r="M59" s="80"/>
      <c r="N59" s="34" t="s">
        <v>17</v>
      </c>
      <c r="P59" s="119">
        <f>("01:40")*13+("02:30")*9</f>
        <v>1.840277778</v>
      </c>
      <c r="Q59" s="78"/>
      <c r="R59" s="2"/>
    </row>
    <row r="60" ht="15.75" customHeight="1">
      <c r="B60" s="79"/>
      <c r="C60" s="79"/>
      <c r="D60" s="79"/>
      <c r="E60" s="79"/>
      <c r="F60" s="37" t="s">
        <v>18</v>
      </c>
      <c r="G60" s="38"/>
      <c r="H60" s="139">
        <f>"04:00"*22</f>
        <v>3.666666667</v>
      </c>
      <c r="I60" s="78"/>
      <c r="J60" s="79"/>
      <c r="K60" s="79"/>
      <c r="L60" s="79"/>
      <c r="M60" s="80"/>
      <c r="N60" s="37" t="s">
        <v>18</v>
      </c>
      <c r="O60" s="38"/>
      <c r="P60" s="139">
        <f>"04:00"*22</f>
        <v>3.666666667</v>
      </c>
      <c r="Q60" s="78"/>
      <c r="R60" s="2"/>
    </row>
    <row r="61" ht="15.75" customHeight="1">
      <c r="B61" s="79"/>
      <c r="C61" s="79"/>
      <c r="D61" s="79"/>
      <c r="E61" s="79"/>
      <c r="F61" s="79"/>
      <c r="G61" s="79"/>
      <c r="H61" s="82"/>
      <c r="I61" s="78"/>
      <c r="J61" s="79"/>
      <c r="K61" s="79"/>
      <c r="L61" s="79"/>
      <c r="M61" s="80"/>
      <c r="N61" s="80"/>
      <c r="O61" s="80"/>
      <c r="P61" s="80"/>
      <c r="Q61" s="78"/>
      <c r="R61" s="2"/>
    </row>
    <row r="62" ht="15.75" customHeight="1">
      <c r="B62" s="36"/>
      <c r="C62" s="36"/>
      <c r="D62" s="36"/>
      <c r="E62" s="36"/>
      <c r="F62" s="36"/>
      <c r="G62" s="36"/>
      <c r="H62" s="36"/>
      <c r="J62" s="36"/>
      <c r="K62" s="36"/>
      <c r="L62" s="36"/>
      <c r="M62" s="36"/>
      <c r="N62" s="36"/>
      <c r="O62" s="36"/>
      <c r="P62" s="36"/>
      <c r="R62" s="2"/>
    </row>
    <row r="63" ht="15.75" customHeight="1">
      <c r="B63" s="42"/>
      <c r="C63" s="43"/>
      <c r="D63" s="64" t="s">
        <v>67</v>
      </c>
      <c r="E63" s="65"/>
      <c r="F63" s="65"/>
      <c r="G63" s="43"/>
      <c r="H63" s="46"/>
      <c r="J63" s="42"/>
      <c r="K63" s="43"/>
      <c r="L63" s="64" t="s">
        <v>68</v>
      </c>
      <c r="M63" s="65"/>
      <c r="N63" s="65"/>
      <c r="O63" s="43"/>
      <c r="P63" s="46"/>
      <c r="R63" s="2"/>
      <c r="S63" s="2"/>
      <c r="T63" s="2"/>
      <c r="U63" s="2"/>
      <c r="V63" s="2"/>
      <c r="W63" s="2"/>
      <c r="X63" s="2"/>
    </row>
    <row r="64" ht="15.75" customHeight="1">
      <c r="B64" s="15" t="s">
        <v>3</v>
      </c>
      <c r="C64" s="16" t="s">
        <v>4</v>
      </c>
      <c r="D64" s="16" t="s">
        <v>5</v>
      </c>
      <c r="E64" s="16" t="s">
        <v>6</v>
      </c>
      <c r="F64" s="16" t="s">
        <v>7</v>
      </c>
      <c r="G64" s="16" t="s">
        <v>8</v>
      </c>
      <c r="H64" s="17" t="s">
        <v>9</v>
      </c>
      <c r="J64" s="15" t="s">
        <v>3</v>
      </c>
      <c r="K64" s="16" t="s">
        <v>4</v>
      </c>
      <c r="L64" s="16" t="s">
        <v>5</v>
      </c>
      <c r="M64" s="16" t="s">
        <v>6</v>
      </c>
      <c r="N64" s="16" t="s">
        <v>7</v>
      </c>
      <c r="O64" s="16" t="s">
        <v>8</v>
      </c>
      <c r="P64" s="17" t="s">
        <v>9</v>
      </c>
      <c r="R64" s="2"/>
      <c r="S64" s="2"/>
      <c r="T64" s="2"/>
      <c r="U64" s="2"/>
      <c r="V64" s="2"/>
      <c r="W64" s="2"/>
      <c r="X64" s="2"/>
    </row>
    <row r="65" ht="15.75" customHeight="1">
      <c r="B65" s="30"/>
      <c r="C65" s="74"/>
      <c r="D65" s="74"/>
      <c r="E65" s="74"/>
      <c r="F65" s="74"/>
      <c r="G65" s="74"/>
      <c r="H65" s="50">
        <v>45962.0</v>
      </c>
      <c r="J65" s="30"/>
      <c r="K65" s="174">
        <v>45992.0</v>
      </c>
      <c r="L65" s="174">
        <v>45993.0</v>
      </c>
      <c r="M65" s="173">
        <v>45994.0</v>
      </c>
      <c r="N65" s="174">
        <v>45995.0</v>
      </c>
      <c r="O65" s="173">
        <v>45996.0</v>
      </c>
      <c r="P65" s="50">
        <v>45997.0</v>
      </c>
      <c r="R65" s="54"/>
      <c r="S65" s="2"/>
      <c r="T65" s="2"/>
      <c r="U65" s="2"/>
      <c r="V65" s="2"/>
      <c r="W65" s="2"/>
      <c r="X65" s="2"/>
    </row>
    <row r="66" ht="15.75" customHeight="1">
      <c r="B66" s="50">
        <v>45963.0</v>
      </c>
      <c r="C66" s="174">
        <v>45964.0</v>
      </c>
      <c r="D66" s="174">
        <v>45965.0</v>
      </c>
      <c r="E66" s="173">
        <v>45966.0</v>
      </c>
      <c r="F66" s="174">
        <v>45967.0</v>
      </c>
      <c r="G66" s="173">
        <v>45968.0</v>
      </c>
      <c r="H66" s="50">
        <v>45969.0</v>
      </c>
      <c r="I66" s="51"/>
      <c r="J66" s="50">
        <v>45998.0</v>
      </c>
      <c r="K66" s="174">
        <v>45754.0</v>
      </c>
      <c r="L66" s="174">
        <v>45755.0</v>
      </c>
      <c r="M66" s="173">
        <v>45756.0</v>
      </c>
      <c r="N66" s="174">
        <v>45757.0</v>
      </c>
      <c r="O66" s="175">
        <v>46003.0</v>
      </c>
      <c r="P66" s="50">
        <v>46004.0</v>
      </c>
      <c r="R66" s="54"/>
      <c r="S66" s="2"/>
      <c r="T66" s="2"/>
      <c r="U66" s="2"/>
      <c r="V66" s="2"/>
      <c r="W66" s="2"/>
      <c r="X66" s="2"/>
    </row>
    <row r="67" ht="15.75" customHeight="1">
      <c r="B67" s="50">
        <v>45970.0</v>
      </c>
      <c r="C67" s="174">
        <v>45971.0</v>
      </c>
      <c r="D67" s="174">
        <v>45972.0</v>
      </c>
      <c r="E67" s="173">
        <v>45973.0</v>
      </c>
      <c r="F67" s="174">
        <v>45974.0</v>
      </c>
      <c r="G67" s="173">
        <v>45975.0</v>
      </c>
      <c r="H67" s="50">
        <v>45976.0</v>
      </c>
      <c r="J67" s="50">
        <v>46005.0</v>
      </c>
      <c r="K67" s="49">
        <v>46006.0</v>
      </c>
      <c r="L67" s="49">
        <v>46007.0</v>
      </c>
      <c r="M67" s="49">
        <v>46008.0</v>
      </c>
      <c r="N67" s="49">
        <v>46009.0</v>
      </c>
      <c r="O67" s="49">
        <v>46010.0</v>
      </c>
      <c r="P67" s="50">
        <v>46011.0</v>
      </c>
      <c r="R67" s="54"/>
      <c r="S67" s="2"/>
      <c r="T67" s="2"/>
      <c r="U67" s="2"/>
      <c r="V67" s="2"/>
      <c r="W67" s="2"/>
      <c r="X67" s="2"/>
    </row>
    <row r="68" ht="15.75" customHeight="1">
      <c r="B68" s="50">
        <v>45977.0</v>
      </c>
      <c r="C68" s="174">
        <v>45978.0</v>
      </c>
      <c r="D68" s="174">
        <v>45979.0</v>
      </c>
      <c r="E68" s="173">
        <v>45980.0</v>
      </c>
      <c r="F68" s="50">
        <v>45981.0</v>
      </c>
      <c r="G68" s="173">
        <v>45982.0</v>
      </c>
      <c r="H68" s="50">
        <v>45983.0</v>
      </c>
      <c r="J68" s="50">
        <v>46012.0</v>
      </c>
      <c r="K68" s="49">
        <v>46013.0</v>
      </c>
      <c r="L68" s="49">
        <v>46014.0</v>
      </c>
      <c r="M68" s="49">
        <v>46015.0</v>
      </c>
      <c r="N68" s="50">
        <v>46016.0</v>
      </c>
      <c r="O68" s="49">
        <v>46017.0</v>
      </c>
      <c r="P68" s="50">
        <v>46018.0</v>
      </c>
      <c r="R68" s="54"/>
      <c r="S68" s="2"/>
      <c r="T68" s="2"/>
      <c r="U68" s="2"/>
      <c r="V68" s="2"/>
      <c r="W68" s="2"/>
      <c r="X68" s="2"/>
    </row>
    <row r="69" ht="15.75" customHeight="1">
      <c r="B69" s="50">
        <v>45984.0</v>
      </c>
      <c r="C69" s="174">
        <v>45985.0</v>
      </c>
      <c r="D69" s="174">
        <v>45986.0</v>
      </c>
      <c r="E69" s="173">
        <v>45987.0</v>
      </c>
      <c r="F69" s="174">
        <v>45988.0</v>
      </c>
      <c r="G69" s="173">
        <v>45989.0</v>
      </c>
      <c r="H69" s="50">
        <v>45990.0</v>
      </c>
      <c r="J69" s="50">
        <v>46019.0</v>
      </c>
      <c r="K69" s="49">
        <v>46020.0</v>
      </c>
      <c r="L69" s="49">
        <v>46021.0</v>
      </c>
      <c r="M69" s="49">
        <v>46022.0</v>
      </c>
      <c r="N69" s="56"/>
      <c r="O69" s="56"/>
      <c r="P69" s="57"/>
      <c r="R69" s="2"/>
      <c r="S69" s="2"/>
      <c r="T69" s="2"/>
      <c r="U69" s="2"/>
      <c r="V69" s="2"/>
      <c r="W69" s="2"/>
      <c r="X69" s="2"/>
    </row>
    <row r="70" ht="15.75" customHeight="1">
      <c r="B70" s="50">
        <v>45991.0</v>
      </c>
      <c r="C70" s="36"/>
      <c r="D70" s="36"/>
      <c r="E70" s="36"/>
      <c r="I70" s="78"/>
      <c r="N70" s="34" t="s">
        <v>17</v>
      </c>
      <c r="P70" s="119">
        <f>("01:40")*6+("02:30")*4</f>
        <v>0.8333333333</v>
      </c>
      <c r="R70" s="2"/>
      <c r="S70" s="2"/>
      <c r="T70" s="2"/>
      <c r="U70" s="2"/>
      <c r="V70" s="2"/>
      <c r="W70" s="2"/>
      <c r="X70" s="2"/>
    </row>
    <row r="71" ht="15.75" customHeight="1">
      <c r="F71" s="34" t="s">
        <v>17</v>
      </c>
      <c r="H71" s="119">
        <f>("01:40")*11+("02:30")*8</f>
        <v>1.597222222</v>
      </c>
      <c r="I71" s="78"/>
      <c r="J71" s="36"/>
      <c r="K71" s="36"/>
      <c r="L71" s="36"/>
      <c r="M71" s="36"/>
      <c r="N71" s="37" t="s">
        <v>18</v>
      </c>
      <c r="O71" s="38"/>
      <c r="P71" s="139">
        <f>"04:00"*10</f>
        <v>1.666666667</v>
      </c>
      <c r="Q71" s="78"/>
      <c r="R71" s="2"/>
      <c r="S71" s="2"/>
      <c r="T71" s="2"/>
      <c r="U71" s="2"/>
      <c r="V71" s="2"/>
      <c r="W71" s="2"/>
      <c r="X71" s="2"/>
    </row>
    <row r="72" ht="15.75" customHeight="1">
      <c r="B72" s="86"/>
      <c r="F72" s="37" t="s">
        <v>18</v>
      </c>
      <c r="G72" s="38"/>
      <c r="H72" s="139">
        <f>"04:00"*19</f>
        <v>3.166666667</v>
      </c>
      <c r="Q72" s="78"/>
      <c r="R72" s="2"/>
      <c r="S72" s="2"/>
      <c r="T72" s="2"/>
      <c r="U72" s="2"/>
      <c r="V72" s="2"/>
      <c r="W72" s="2"/>
      <c r="X72" s="2"/>
    </row>
    <row r="73" ht="15.75" customHeight="1">
      <c r="B73" s="51"/>
      <c r="H73" s="67"/>
      <c r="R73" s="2"/>
      <c r="S73" s="2"/>
      <c r="T73" s="2"/>
      <c r="U73" s="2"/>
      <c r="V73" s="2"/>
      <c r="W73" s="2"/>
      <c r="X73" s="2"/>
    </row>
    <row r="74" ht="15.75" customHeight="1">
      <c r="P74" s="67"/>
      <c r="R74" s="2"/>
      <c r="S74" s="2"/>
      <c r="T74" s="2"/>
      <c r="U74" s="2"/>
      <c r="V74" s="2"/>
      <c r="W74" s="2"/>
      <c r="X74" s="2"/>
    </row>
    <row r="75" ht="15.75" customHeight="1">
      <c r="R75" s="2"/>
      <c r="S75" s="2"/>
      <c r="T75" s="2"/>
      <c r="U75" s="2"/>
      <c r="V75" s="2"/>
      <c r="W75" s="2"/>
      <c r="X75" s="2"/>
    </row>
    <row r="76" ht="15.75" customHeight="1">
      <c r="R76" s="2"/>
      <c r="S76" s="2"/>
      <c r="T76" s="2"/>
      <c r="U76" s="2"/>
      <c r="V76" s="2"/>
      <c r="W76" s="2"/>
      <c r="X76" s="2"/>
    </row>
    <row r="77" ht="15.75" customHeight="1">
      <c r="R77" s="2"/>
      <c r="S77" s="2"/>
      <c r="T77" s="2"/>
      <c r="U77" s="2"/>
      <c r="V77" s="2"/>
      <c r="W77" s="2"/>
      <c r="X77" s="2"/>
    </row>
    <row r="78" ht="15.75" customHeight="1">
      <c r="R78" s="2"/>
      <c r="S78" s="2"/>
      <c r="T78" s="2"/>
      <c r="U78" s="2"/>
      <c r="V78" s="2"/>
      <c r="W78" s="2"/>
      <c r="X78" s="2"/>
    </row>
    <row r="79" ht="15.75" customHeight="1">
      <c r="R79" s="2"/>
      <c r="S79" s="2"/>
      <c r="T79" s="2"/>
      <c r="U79" s="2"/>
      <c r="V79" s="2"/>
      <c r="W79" s="2"/>
      <c r="X79" s="2"/>
    </row>
    <row r="80" ht="15.75" customHeight="1">
      <c r="R80" s="2"/>
      <c r="S80" s="2"/>
      <c r="T80" s="2"/>
      <c r="U80" s="2"/>
      <c r="V80" s="2"/>
      <c r="W80" s="2"/>
      <c r="X80" s="2"/>
    </row>
    <row r="81" ht="15.75" customHeight="1">
      <c r="R81" s="2"/>
      <c r="S81" s="2"/>
      <c r="T81" s="2"/>
      <c r="U81" s="2"/>
      <c r="V81" s="2"/>
      <c r="W81" s="2"/>
      <c r="X81" s="2"/>
    </row>
    <row r="82" ht="15.75" customHeight="1">
      <c r="R82" s="2"/>
      <c r="S82" s="2"/>
      <c r="T82" s="2"/>
      <c r="U82" s="2"/>
      <c r="V82" s="2"/>
      <c r="W82" s="2"/>
      <c r="X82" s="2"/>
    </row>
    <row r="83" ht="15.75" customHeight="1">
      <c r="R83" s="2"/>
      <c r="S83" s="2"/>
      <c r="T83" s="2"/>
      <c r="U83" s="2"/>
      <c r="V83" s="2"/>
      <c r="W83" s="2"/>
      <c r="X83" s="2"/>
    </row>
    <row r="84" ht="15.75" customHeight="1">
      <c r="R84" s="2"/>
      <c r="S84" s="2"/>
      <c r="T84" s="2"/>
      <c r="U84" s="2"/>
      <c r="V84" s="2"/>
      <c r="W84" s="2"/>
      <c r="X84" s="2"/>
    </row>
    <row r="85" ht="15.75" customHeight="1">
      <c r="R85" s="2"/>
      <c r="S85" s="2"/>
      <c r="T85" s="2"/>
      <c r="U85" s="2"/>
      <c r="V85" s="2"/>
      <c r="W85" s="2"/>
      <c r="X85" s="2"/>
    </row>
    <row r="86" ht="15.75" customHeight="1">
      <c r="R86" s="2"/>
      <c r="S86" s="2"/>
      <c r="T86" s="2"/>
      <c r="U86" s="2"/>
      <c r="V86" s="2"/>
      <c r="W86" s="2"/>
      <c r="X86" s="2"/>
    </row>
    <row r="87" ht="15.75" customHeight="1">
      <c r="R87" s="2"/>
      <c r="S87" s="2"/>
      <c r="T87" s="2"/>
      <c r="U87" s="2"/>
      <c r="V87" s="2"/>
      <c r="W87" s="2"/>
      <c r="X87" s="2"/>
    </row>
    <row r="88" ht="15.75" customHeight="1">
      <c r="R88" s="2"/>
      <c r="S88" s="2"/>
      <c r="T88" s="2"/>
      <c r="U88" s="2"/>
      <c r="V88" s="2"/>
      <c r="W88" s="2"/>
      <c r="X88" s="2"/>
    </row>
    <row r="89" ht="15.75" customHeight="1">
      <c r="R89" s="2"/>
      <c r="S89" s="2"/>
      <c r="T89" s="2"/>
      <c r="U89" s="2"/>
      <c r="V89" s="2"/>
      <c r="W89" s="2"/>
      <c r="X89" s="2"/>
    </row>
    <row r="90" ht="15.75" customHeight="1">
      <c r="R90" s="2"/>
      <c r="S90" s="2"/>
      <c r="T90" s="2"/>
      <c r="U90" s="2"/>
      <c r="V90" s="2"/>
      <c r="W90" s="2"/>
      <c r="X90" s="2"/>
    </row>
    <row r="91" ht="15.75" customHeight="1">
      <c r="R91" s="2"/>
      <c r="S91" s="2"/>
      <c r="T91" s="2"/>
      <c r="U91" s="2"/>
      <c r="V91" s="2"/>
      <c r="W91" s="2"/>
      <c r="X91" s="2"/>
    </row>
    <row r="92" ht="15.75" customHeight="1">
      <c r="R92" s="2"/>
      <c r="S92" s="2"/>
      <c r="T92" s="2"/>
      <c r="U92" s="2"/>
      <c r="V92" s="2"/>
      <c r="W92" s="2"/>
      <c r="X92" s="2"/>
    </row>
    <row r="93" ht="15.75" customHeight="1">
      <c r="R93" s="2"/>
      <c r="S93" s="2"/>
      <c r="T93" s="2"/>
      <c r="U93" s="2"/>
      <c r="V93" s="2"/>
      <c r="W93" s="2"/>
      <c r="X93" s="2"/>
    </row>
    <row r="94" ht="15.75" customHeight="1">
      <c r="R94" s="2"/>
      <c r="S94" s="2"/>
      <c r="T94" s="2"/>
      <c r="U94" s="2"/>
      <c r="V94" s="2"/>
      <c r="W94" s="2"/>
      <c r="X94" s="2"/>
    </row>
    <row r="95" ht="15.75" customHeight="1">
      <c r="R95" s="2"/>
      <c r="S95" s="2"/>
      <c r="T95" s="2"/>
      <c r="U95" s="2"/>
      <c r="V95" s="2"/>
      <c r="W95" s="2"/>
      <c r="X95" s="2"/>
    </row>
    <row r="96" ht="15.75" customHeight="1">
      <c r="R96" s="2"/>
      <c r="S96" s="2"/>
      <c r="T96" s="2"/>
      <c r="U96" s="2"/>
      <c r="V96" s="2"/>
      <c r="W96" s="2"/>
      <c r="X96" s="2"/>
    </row>
    <row r="97" ht="15.75" customHeight="1">
      <c r="R97" s="2"/>
      <c r="S97" s="2"/>
      <c r="T97" s="2"/>
      <c r="U97" s="2"/>
      <c r="V97" s="2"/>
      <c r="W97" s="2"/>
      <c r="X97" s="2"/>
    </row>
    <row r="98" ht="15.75" customHeight="1">
      <c r="R98" s="2"/>
      <c r="S98" s="2"/>
      <c r="T98" s="2"/>
      <c r="U98" s="2"/>
      <c r="V98" s="2"/>
      <c r="W98" s="2"/>
      <c r="X98" s="2"/>
    </row>
    <row r="99" ht="15.75" customHeight="1">
      <c r="R99" s="2"/>
      <c r="S99" s="2"/>
      <c r="T99" s="2"/>
      <c r="U99" s="2"/>
      <c r="V99" s="2"/>
      <c r="W99" s="2"/>
      <c r="X99" s="2"/>
    </row>
    <row r="100" ht="15.75" customHeight="1">
      <c r="R100" s="2"/>
      <c r="S100" s="2"/>
      <c r="T100" s="2"/>
      <c r="U100" s="2"/>
      <c r="V100" s="2"/>
      <c r="W100" s="2"/>
      <c r="X100" s="2"/>
    </row>
    <row r="101" ht="15.75" customHeight="1">
      <c r="R101" s="2"/>
      <c r="S101" s="2"/>
      <c r="T101" s="2"/>
      <c r="U101" s="2"/>
      <c r="V101" s="2"/>
      <c r="W101" s="2"/>
      <c r="X101" s="2"/>
    </row>
    <row r="102" ht="15.75" customHeight="1">
      <c r="R102" s="2"/>
      <c r="S102" s="2"/>
      <c r="T102" s="2"/>
      <c r="U102" s="2"/>
      <c r="V102" s="2"/>
      <c r="W102" s="2"/>
      <c r="X102" s="2"/>
    </row>
    <row r="103" ht="15.75" customHeight="1">
      <c r="R103" s="2"/>
      <c r="S103" s="2"/>
      <c r="T103" s="2"/>
      <c r="U103" s="2"/>
      <c r="V103" s="2"/>
      <c r="W103" s="2"/>
      <c r="X103" s="2"/>
    </row>
    <row r="104" ht="15.75" customHeight="1">
      <c r="R104" s="2"/>
      <c r="S104" s="2"/>
      <c r="T104" s="2"/>
      <c r="U104" s="2"/>
      <c r="V104" s="2"/>
      <c r="W104" s="2"/>
      <c r="X104" s="2"/>
    </row>
    <row r="105" ht="15.75" customHeight="1">
      <c r="R105" s="2"/>
      <c r="S105" s="2"/>
      <c r="T105" s="2"/>
      <c r="U105" s="2"/>
      <c r="V105" s="2"/>
      <c r="W105" s="2"/>
      <c r="X105" s="2"/>
    </row>
    <row r="106" ht="15.75" customHeight="1">
      <c r="R106" s="2"/>
      <c r="S106" s="2"/>
      <c r="T106" s="2"/>
      <c r="U106" s="2"/>
      <c r="V106" s="2"/>
      <c r="W106" s="2"/>
      <c r="X106" s="2"/>
    </row>
    <row r="107" ht="15.75" customHeight="1">
      <c r="R107" s="2"/>
      <c r="S107" s="2"/>
      <c r="T107" s="2"/>
      <c r="U107" s="2"/>
      <c r="V107" s="2"/>
      <c r="W107" s="2"/>
      <c r="X107" s="2"/>
    </row>
    <row r="108" ht="15.75" customHeight="1">
      <c r="R108" s="2"/>
      <c r="S108" s="2"/>
      <c r="T108" s="2"/>
      <c r="U108" s="2"/>
      <c r="V108" s="2"/>
      <c r="W108" s="2"/>
      <c r="X108" s="2"/>
    </row>
    <row r="109" ht="15.75" customHeight="1">
      <c r="R109" s="2"/>
      <c r="S109" s="2"/>
      <c r="T109" s="2"/>
      <c r="U109" s="2"/>
      <c r="V109" s="2"/>
      <c r="W109" s="2"/>
      <c r="X109" s="2"/>
    </row>
    <row r="110" ht="15.75" customHeight="1">
      <c r="R110" s="2"/>
      <c r="S110" s="2"/>
      <c r="T110" s="2"/>
      <c r="U110" s="2"/>
      <c r="V110" s="2"/>
      <c r="W110" s="2"/>
      <c r="X110" s="2"/>
    </row>
    <row r="111" ht="15.75" customHeight="1">
      <c r="R111" s="2"/>
      <c r="S111" s="2"/>
      <c r="T111" s="2"/>
      <c r="U111" s="2"/>
      <c r="V111" s="2"/>
      <c r="W111" s="2"/>
      <c r="X111" s="2"/>
    </row>
    <row r="112" ht="15.75" customHeight="1">
      <c r="R112" s="2"/>
      <c r="S112" s="2"/>
      <c r="T112" s="2"/>
      <c r="U112" s="2"/>
      <c r="V112" s="2"/>
      <c r="W112" s="2"/>
      <c r="X112" s="2"/>
    </row>
    <row r="113" ht="15.75" customHeight="1">
      <c r="R113" s="2"/>
      <c r="S113" s="2"/>
      <c r="T113" s="2"/>
      <c r="U113" s="2"/>
      <c r="V113" s="2"/>
      <c r="W113" s="2"/>
      <c r="X113" s="2"/>
    </row>
    <row r="114" ht="15.75" customHeight="1">
      <c r="R114" s="2"/>
      <c r="S114" s="2"/>
      <c r="T114" s="2"/>
      <c r="U114" s="2"/>
      <c r="V114" s="2"/>
      <c r="W114" s="2"/>
      <c r="X114" s="2"/>
    </row>
    <row r="115" ht="15.75" customHeight="1">
      <c r="R115" s="2"/>
      <c r="S115" s="2"/>
      <c r="T115" s="2"/>
      <c r="U115" s="2"/>
      <c r="V115" s="2"/>
      <c r="W115" s="2"/>
      <c r="X115" s="2"/>
    </row>
    <row r="116" ht="15.75" customHeight="1">
      <c r="R116" s="2"/>
      <c r="S116" s="2"/>
      <c r="T116" s="2"/>
      <c r="U116" s="2"/>
      <c r="V116" s="2"/>
      <c r="W116" s="2"/>
      <c r="X116" s="2"/>
    </row>
    <row r="117" ht="15.75" customHeight="1">
      <c r="R117" s="2"/>
      <c r="S117" s="2"/>
      <c r="T117" s="2"/>
      <c r="U117" s="2"/>
      <c r="V117" s="2"/>
      <c r="W117" s="2"/>
      <c r="X117" s="2"/>
    </row>
    <row r="118" ht="15.75" customHeight="1">
      <c r="R118" s="2"/>
      <c r="S118" s="2"/>
      <c r="T118" s="2"/>
      <c r="U118" s="2"/>
      <c r="V118" s="2"/>
      <c r="W118" s="2"/>
      <c r="X118" s="2"/>
    </row>
    <row r="119" ht="15.75" customHeight="1">
      <c r="R119" s="2"/>
      <c r="S119" s="2"/>
      <c r="T119" s="2"/>
      <c r="U119" s="2"/>
      <c r="V119" s="2"/>
      <c r="W119" s="2"/>
      <c r="X119" s="2"/>
    </row>
    <row r="120" ht="15.75" customHeight="1">
      <c r="R120" s="2"/>
      <c r="S120" s="2"/>
      <c r="T120" s="2"/>
      <c r="U120" s="2"/>
      <c r="V120" s="2"/>
      <c r="W120" s="2"/>
      <c r="X120" s="2"/>
    </row>
    <row r="121" ht="15.75" customHeight="1">
      <c r="R121" s="2"/>
      <c r="S121" s="2"/>
      <c r="T121" s="2"/>
      <c r="U121" s="2"/>
      <c r="V121" s="2"/>
      <c r="W121" s="2"/>
      <c r="X121" s="2"/>
    </row>
    <row r="122" ht="15.75" customHeight="1">
      <c r="R122" s="2"/>
      <c r="S122" s="2"/>
      <c r="T122" s="2"/>
      <c r="U122" s="2"/>
      <c r="V122" s="2"/>
      <c r="W122" s="2"/>
      <c r="X122" s="2"/>
    </row>
    <row r="123" ht="15.75" customHeight="1">
      <c r="R123" s="2"/>
      <c r="S123" s="2"/>
      <c r="T123" s="2"/>
      <c r="U123" s="2"/>
      <c r="V123" s="2"/>
      <c r="W123" s="2"/>
      <c r="X123" s="2"/>
    </row>
    <row r="124" ht="15.75" customHeight="1">
      <c r="R124" s="2"/>
      <c r="S124" s="2"/>
      <c r="T124" s="2"/>
      <c r="U124" s="2"/>
      <c r="V124" s="2"/>
      <c r="W124" s="2"/>
      <c r="X124" s="2"/>
    </row>
    <row r="125" ht="15.75" customHeight="1">
      <c r="R125" s="2"/>
      <c r="S125" s="2"/>
      <c r="T125" s="2"/>
      <c r="U125" s="2"/>
      <c r="V125" s="2"/>
      <c r="W125" s="2"/>
      <c r="X125" s="2"/>
    </row>
    <row r="126" ht="15.75" customHeight="1">
      <c r="R126" s="2"/>
      <c r="S126" s="2"/>
      <c r="T126" s="2"/>
      <c r="U126" s="2"/>
      <c r="V126" s="2"/>
      <c r="W126" s="2"/>
      <c r="X126" s="2"/>
    </row>
    <row r="127" ht="15.75" customHeight="1">
      <c r="R127" s="2"/>
      <c r="S127" s="2"/>
      <c r="T127" s="2"/>
      <c r="U127" s="2"/>
      <c r="V127" s="2"/>
      <c r="W127" s="2"/>
      <c r="X127" s="2"/>
    </row>
    <row r="128" ht="15.75" customHeight="1">
      <c r="R128" s="2"/>
      <c r="S128" s="2"/>
      <c r="T128" s="2"/>
      <c r="U128" s="2"/>
      <c r="V128" s="2"/>
      <c r="W128" s="2"/>
      <c r="X128" s="2"/>
    </row>
    <row r="129" ht="15.75" customHeight="1">
      <c r="R129" s="2"/>
      <c r="S129" s="2"/>
      <c r="T129" s="2"/>
      <c r="U129" s="2"/>
      <c r="V129" s="2"/>
      <c r="W129" s="2"/>
      <c r="X129" s="2"/>
    </row>
    <row r="130" ht="15.75" customHeight="1">
      <c r="R130" s="2"/>
      <c r="S130" s="2"/>
      <c r="T130" s="2"/>
      <c r="U130" s="2"/>
      <c r="V130" s="2"/>
      <c r="W130" s="2"/>
      <c r="X130" s="2"/>
    </row>
    <row r="131" ht="15.75" customHeight="1">
      <c r="R131" s="2"/>
      <c r="S131" s="2"/>
      <c r="T131" s="2"/>
      <c r="U131" s="2"/>
      <c r="V131" s="2"/>
      <c r="W131" s="2"/>
      <c r="X131" s="2"/>
    </row>
    <row r="132" ht="15.75" customHeight="1">
      <c r="R132" s="2"/>
      <c r="S132" s="2"/>
      <c r="T132" s="2"/>
      <c r="U132" s="2"/>
      <c r="V132" s="2"/>
      <c r="W132" s="2"/>
      <c r="X132" s="2"/>
    </row>
    <row r="133" ht="15.75" customHeight="1">
      <c r="R133" s="2"/>
      <c r="S133" s="2"/>
      <c r="T133" s="2"/>
      <c r="U133" s="2"/>
      <c r="V133" s="2"/>
      <c r="W133" s="2"/>
      <c r="X133" s="2"/>
    </row>
    <row r="134" ht="15.75" customHeight="1">
      <c r="R134" s="2"/>
      <c r="S134" s="2"/>
      <c r="T134" s="2"/>
      <c r="U134" s="2"/>
      <c r="V134" s="2"/>
      <c r="W134" s="2"/>
      <c r="X134" s="2"/>
    </row>
    <row r="135" ht="15.75" customHeight="1">
      <c r="R135" s="2"/>
      <c r="S135" s="2"/>
      <c r="T135" s="2"/>
      <c r="U135" s="2"/>
      <c r="V135" s="2"/>
      <c r="W135" s="2"/>
      <c r="X135" s="2"/>
    </row>
    <row r="136" ht="15.75" customHeight="1">
      <c r="R136" s="2"/>
      <c r="S136" s="2"/>
      <c r="T136" s="2"/>
      <c r="U136" s="2"/>
      <c r="V136" s="2"/>
      <c r="W136" s="2"/>
      <c r="X136" s="2"/>
    </row>
    <row r="137" ht="15.75" customHeight="1">
      <c r="R137" s="2"/>
      <c r="S137" s="2"/>
      <c r="T137" s="2"/>
      <c r="U137" s="2"/>
      <c r="V137" s="2"/>
      <c r="W137" s="2"/>
      <c r="X137" s="2"/>
    </row>
    <row r="138" ht="15.75" customHeight="1">
      <c r="R138" s="2"/>
      <c r="S138" s="2"/>
      <c r="T138" s="2"/>
      <c r="U138" s="2"/>
      <c r="V138" s="2"/>
      <c r="W138" s="2"/>
      <c r="X138" s="2"/>
    </row>
    <row r="139" ht="15.75" customHeight="1">
      <c r="R139" s="2"/>
      <c r="S139" s="2"/>
      <c r="T139" s="2"/>
      <c r="U139" s="2"/>
      <c r="V139" s="2"/>
      <c r="W139" s="2"/>
      <c r="X139" s="2"/>
    </row>
    <row r="140" ht="15.75" customHeight="1">
      <c r="R140" s="2"/>
      <c r="S140" s="2"/>
      <c r="T140" s="2"/>
      <c r="U140" s="2"/>
      <c r="V140" s="2"/>
      <c r="W140" s="2"/>
      <c r="X140" s="2"/>
    </row>
    <row r="141" ht="15.75" customHeight="1">
      <c r="R141" s="2"/>
      <c r="S141" s="2"/>
      <c r="T141" s="2"/>
      <c r="U141" s="2"/>
      <c r="V141" s="2"/>
      <c r="W141" s="2"/>
      <c r="X141" s="2"/>
    </row>
    <row r="142" ht="15.75" customHeight="1">
      <c r="R142" s="2"/>
      <c r="S142" s="2"/>
      <c r="T142" s="2"/>
      <c r="U142" s="2"/>
      <c r="V142" s="2"/>
      <c r="W142" s="2"/>
      <c r="X142" s="2"/>
    </row>
    <row r="143" ht="15.75" customHeight="1">
      <c r="R143" s="2"/>
      <c r="S143" s="2"/>
      <c r="T143" s="2"/>
      <c r="U143" s="2"/>
      <c r="V143" s="2"/>
      <c r="W143" s="2"/>
      <c r="X143" s="2"/>
    </row>
    <row r="144" ht="15.75" customHeight="1">
      <c r="R144" s="2"/>
      <c r="S144" s="2"/>
      <c r="T144" s="2"/>
      <c r="U144" s="2"/>
      <c r="V144" s="2"/>
      <c r="W144" s="2"/>
      <c r="X144" s="2"/>
    </row>
    <row r="145" ht="15.75" customHeight="1">
      <c r="R145" s="2"/>
      <c r="S145" s="2"/>
      <c r="T145" s="2"/>
      <c r="U145" s="2"/>
      <c r="V145" s="2"/>
      <c r="W145" s="2"/>
      <c r="X145" s="2"/>
    </row>
    <row r="146" ht="15.75" customHeight="1">
      <c r="R146" s="2"/>
      <c r="S146" s="2"/>
      <c r="T146" s="2"/>
      <c r="U146" s="2"/>
      <c r="V146" s="2"/>
      <c r="W146" s="2"/>
      <c r="X146" s="2"/>
    </row>
    <row r="147" ht="15.75" customHeight="1">
      <c r="R147" s="2"/>
      <c r="S147" s="2"/>
      <c r="T147" s="2"/>
      <c r="U147" s="2"/>
      <c r="V147" s="2"/>
      <c r="W147" s="2"/>
      <c r="X147" s="2"/>
    </row>
    <row r="148" ht="15.75" customHeight="1">
      <c r="R148" s="2"/>
      <c r="S148" s="2"/>
      <c r="T148" s="2"/>
      <c r="U148" s="2"/>
      <c r="V148" s="2"/>
      <c r="W148" s="2"/>
      <c r="X148" s="2"/>
    </row>
    <row r="149" ht="15.75" customHeight="1">
      <c r="R149" s="2"/>
      <c r="S149" s="2"/>
      <c r="T149" s="2"/>
      <c r="U149" s="2"/>
      <c r="V149" s="2"/>
      <c r="W149" s="2"/>
      <c r="X149" s="2"/>
    </row>
    <row r="150" ht="15.75" customHeight="1">
      <c r="R150" s="2"/>
      <c r="S150" s="2"/>
      <c r="T150" s="2"/>
      <c r="U150" s="2"/>
      <c r="V150" s="2"/>
      <c r="W150" s="2"/>
      <c r="X150" s="2"/>
    </row>
    <row r="151" ht="15.75" customHeight="1">
      <c r="R151" s="2"/>
      <c r="S151" s="2"/>
      <c r="T151" s="2"/>
      <c r="U151" s="2"/>
      <c r="V151" s="2"/>
      <c r="W151" s="2"/>
      <c r="X151" s="2"/>
    </row>
    <row r="152" ht="15.75" customHeight="1">
      <c r="R152" s="2"/>
      <c r="S152" s="2"/>
      <c r="T152" s="2"/>
      <c r="U152" s="2"/>
      <c r="V152" s="2"/>
      <c r="W152" s="2"/>
      <c r="X152" s="2"/>
    </row>
    <row r="153" ht="15.75" customHeight="1">
      <c r="R153" s="2"/>
      <c r="S153" s="2"/>
      <c r="T153" s="2"/>
      <c r="U153" s="2"/>
      <c r="V153" s="2"/>
      <c r="W153" s="2"/>
      <c r="X153" s="2"/>
    </row>
    <row r="154" ht="15.75" customHeight="1">
      <c r="R154" s="2"/>
      <c r="S154" s="2"/>
      <c r="T154" s="2"/>
      <c r="U154" s="2"/>
      <c r="V154" s="2"/>
      <c r="W154" s="2"/>
      <c r="X154" s="2"/>
    </row>
    <row r="155" ht="15.75" customHeight="1">
      <c r="R155" s="2"/>
      <c r="S155" s="2"/>
      <c r="T155" s="2"/>
      <c r="U155" s="2"/>
      <c r="V155" s="2"/>
      <c r="W155" s="2"/>
      <c r="X155" s="2"/>
    </row>
    <row r="156" ht="15.75" customHeight="1">
      <c r="R156" s="2"/>
      <c r="S156" s="2"/>
      <c r="T156" s="2"/>
      <c r="U156" s="2"/>
      <c r="V156" s="2"/>
      <c r="W156" s="2"/>
      <c r="X156" s="2"/>
    </row>
    <row r="157" ht="15.75" customHeight="1">
      <c r="R157" s="2"/>
      <c r="S157" s="2"/>
      <c r="T157" s="2"/>
      <c r="U157" s="2"/>
      <c r="V157" s="2"/>
      <c r="W157" s="2"/>
      <c r="X157" s="2"/>
    </row>
    <row r="158" ht="15.75" customHeight="1">
      <c r="R158" s="2"/>
      <c r="S158" s="2"/>
      <c r="T158" s="2"/>
      <c r="U158" s="2"/>
      <c r="V158" s="2"/>
      <c r="W158" s="2"/>
      <c r="X158" s="2"/>
    </row>
    <row r="159" ht="15.75" customHeight="1">
      <c r="R159" s="2"/>
      <c r="S159" s="2"/>
      <c r="T159" s="2"/>
      <c r="U159" s="2"/>
      <c r="V159" s="2"/>
      <c r="W159" s="2"/>
      <c r="X159" s="2"/>
    </row>
    <row r="160" ht="15.75" customHeight="1">
      <c r="R160" s="2"/>
      <c r="S160" s="2"/>
      <c r="T160" s="2"/>
      <c r="U160" s="2"/>
      <c r="V160" s="2"/>
      <c r="W160" s="2"/>
      <c r="X160" s="2"/>
    </row>
    <row r="161" ht="15.75" customHeight="1">
      <c r="R161" s="2"/>
      <c r="S161" s="2"/>
      <c r="T161" s="2"/>
      <c r="U161" s="2"/>
      <c r="V161" s="2"/>
      <c r="W161" s="2"/>
      <c r="X161" s="2"/>
    </row>
    <row r="162" ht="15.75" customHeight="1">
      <c r="R162" s="2"/>
      <c r="S162" s="2"/>
      <c r="T162" s="2"/>
      <c r="U162" s="2"/>
      <c r="V162" s="2"/>
      <c r="W162" s="2"/>
      <c r="X162" s="2"/>
    </row>
    <row r="163" ht="15.75" customHeight="1">
      <c r="R163" s="2"/>
      <c r="S163" s="2"/>
      <c r="T163" s="2"/>
      <c r="U163" s="2"/>
      <c r="V163" s="2"/>
      <c r="W163" s="2"/>
      <c r="X163" s="2"/>
    </row>
    <row r="164" ht="15.75" customHeight="1">
      <c r="R164" s="2"/>
      <c r="S164" s="2"/>
      <c r="T164" s="2"/>
      <c r="U164" s="2"/>
      <c r="V164" s="2"/>
      <c r="W164" s="2"/>
      <c r="X164" s="2"/>
    </row>
    <row r="165" ht="15.75" customHeight="1">
      <c r="R165" s="2"/>
      <c r="S165" s="2"/>
      <c r="T165" s="2"/>
      <c r="U165" s="2"/>
      <c r="V165" s="2"/>
      <c r="W165" s="2"/>
      <c r="X165" s="2"/>
    </row>
    <row r="166" ht="15.75" customHeight="1">
      <c r="R166" s="2"/>
      <c r="S166" s="2"/>
      <c r="T166" s="2"/>
      <c r="U166" s="2"/>
      <c r="V166" s="2"/>
      <c r="W166" s="2"/>
      <c r="X166" s="2"/>
    </row>
    <row r="167" ht="15.75" customHeight="1">
      <c r="R167" s="2"/>
      <c r="S167" s="2"/>
      <c r="T167" s="2"/>
      <c r="U167" s="2"/>
      <c r="V167" s="2"/>
      <c r="W167" s="2"/>
      <c r="X167" s="2"/>
    </row>
    <row r="168" ht="15.75" customHeight="1">
      <c r="R168" s="2"/>
      <c r="S168" s="2"/>
      <c r="T168" s="2"/>
      <c r="U168" s="2"/>
      <c r="V168" s="2"/>
      <c r="W168" s="2"/>
      <c r="X168" s="2"/>
    </row>
    <row r="169" ht="15.75" customHeight="1">
      <c r="R169" s="2"/>
      <c r="S169" s="2"/>
      <c r="T169" s="2"/>
      <c r="U169" s="2"/>
      <c r="V169" s="2"/>
      <c r="W169" s="2"/>
      <c r="X169" s="2"/>
    </row>
    <row r="170" ht="15.75" customHeight="1">
      <c r="R170" s="2"/>
      <c r="S170" s="2"/>
      <c r="T170" s="2"/>
      <c r="U170" s="2"/>
      <c r="V170" s="2"/>
      <c r="W170" s="2"/>
      <c r="X170" s="2"/>
    </row>
    <row r="171" ht="15.75" customHeight="1">
      <c r="R171" s="2"/>
      <c r="S171" s="2"/>
      <c r="T171" s="2"/>
      <c r="U171" s="2"/>
      <c r="V171" s="2"/>
      <c r="W171" s="2"/>
      <c r="X171" s="2"/>
    </row>
    <row r="172" ht="15.75" customHeight="1">
      <c r="R172" s="2"/>
      <c r="S172" s="2"/>
      <c r="T172" s="2"/>
      <c r="U172" s="2"/>
      <c r="V172" s="2"/>
      <c r="W172" s="2"/>
      <c r="X172" s="2"/>
    </row>
    <row r="173" ht="15.75" customHeight="1">
      <c r="R173" s="2"/>
      <c r="S173" s="2"/>
      <c r="T173" s="2"/>
      <c r="U173" s="2"/>
      <c r="V173" s="2"/>
      <c r="W173" s="2"/>
      <c r="X173" s="2"/>
    </row>
    <row r="174" ht="15.75" customHeight="1">
      <c r="R174" s="2"/>
      <c r="S174" s="2"/>
      <c r="T174" s="2"/>
      <c r="U174" s="2"/>
      <c r="V174" s="2"/>
      <c r="W174" s="2"/>
      <c r="X174" s="2"/>
    </row>
    <row r="175" ht="15.75" customHeight="1">
      <c r="R175" s="2"/>
      <c r="S175" s="2"/>
      <c r="T175" s="2"/>
      <c r="U175" s="2"/>
      <c r="V175" s="2"/>
      <c r="W175" s="2"/>
      <c r="X175" s="2"/>
    </row>
    <row r="176" ht="15.75" customHeight="1">
      <c r="R176" s="2"/>
      <c r="S176" s="2"/>
      <c r="T176" s="2"/>
      <c r="U176" s="2"/>
      <c r="V176" s="2"/>
      <c r="W176" s="2"/>
      <c r="X176" s="2"/>
    </row>
    <row r="177" ht="15.75" customHeight="1">
      <c r="R177" s="2"/>
      <c r="S177" s="2"/>
      <c r="T177" s="2"/>
      <c r="U177" s="2"/>
      <c r="V177" s="2"/>
      <c r="W177" s="2"/>
      <c r="X177" s="2"/>
    </row>
    <row r="178" ht="15.75" customHeight="1">
      <c r="R178" s="2"/>
      <c r="S178" s="2"/>
      <c r="T178" s="2"/>
      <c r="U178" s="2"/>
      <c r="V178" s="2"/>
      <c r="W178" s="2"/>
      <c r="X178" s="2"/>
    </row>
    <row r="179" ht="15.75" customHeight="1">
      <c r="R179" s="2"/>
      <c r="S179" s="2"/>
      <c r="T179" s="2"/>
      <c r="U179" s="2"/>
      <c r="V179" s="2"/>
      <c r="W179" s="2"/>
      <c r="X179" s="2"/>
    </row>
    <row r="180" ht="15.75" customHeight="1">
      <c r="R180" s="2"/>
      <c r="S180" s="2"/>
      <c r="T180" s="2"/>
      <c r="U180" s="2"/>
      <c r="V180" s="2"/>
      <c r="W180" s="2"/>
      <c r="X180" s="2"/>
    </row>
    <row r="181" ht="15.75" customHeight="1">
      <c r="R181" s="2"/>
      <c r="S181" s="2"/>
      <c r="T181" s="2"/>
      <c r="U181" s="2"/>
      <c r="V181" s="2"/>
      <c r="W181" s="2"/>
      <c r="X181" s="2"/>
    </row>
    <row r="182" ht="15.75" customHeight="1">
      <c r="R182" s="2"/>
      <c r="S182" s="2"/>
      <c r="T182" s="2"/>
      <c r="U182" s="2"/>
      <c r="V182" s="2"/>
      <c r="W182" s="2"/>
      <c r="X182" s="2"/>
    </row>
    <row r="183" ht="15.75" customHeight="1">
      <c r="R183" s="2"/>
      <c r="S183" s="2"/>
      <c r="T183" s="2"/>
      <c r="U183" s="2"/>
      <c r="V183" s="2"/>
      <c r="W183" s="2"/>
      <c r="X183" s="2"/>
    </row>
    <row r="184" ht="15.75" customHeight="1">
      <c r="R184" s="2"/>
      <c r="S184" s="2"/>
      <c r="T184" s="2"/>
      <c r="U184" s="2"/>
      <c r="V184" s="2"/>
      <c r="W184" s="2"/>
      <c r="X184" s="2"/>
    </row>
    <row r="185" ht="15.75" customHeight="1">
      <c r="R185" s="2"/>
      <c r="S185" s="2"/>
      <c r="T185" s="2"/>
      <c r="U185" s="2"/>
      <c r="V185" s="2"/>
      <c r="W185" s="2"/>
      <c r="X185" s="2"/>
    </row>
    <row r="186" ht="15.75" customHeight="1">
      <c r="R186" s="2"/>
      <c r="S186" s="2"/>
      <c r="T186" s="2"/>
      <c r="U186" s="2"/>
      <c r="V186" s="2"/>
      <c r="W186" s="2"/>
      <c r="X186" s="2"/>
    </row>
    <row r="187" ht="15.75" customHeight="1">
      <c r="R187" s="2"/>
      <c r="S187" s="2"/>
      <c r="T187" s="2"/>
      <c r="U187" s="2"/>
      <c r="V187" s="2"/>
      <c r="W187" s="2"/>
      <c r="X187" s="2"/>
    </row>
    <row r="188" ht="15.75" customHeight="1">
      <c r="R188" s="2"/>
      <c r="S188" s="2"/>
      <c r="T188" s="2"/>
      <c r="U188" s="2"/>
      <c r="V188" s="2"/>
      <c r="W188" s="2"/>
      <c r="X188" s="2"/>
    </row>
    <row r="189" ht="15.75" customHeight="1">
      <c r="R189" s="2"/>
      <c r="S189" s="2"/>
      <c r="T189" s="2"/>
      <c r="U189" s="2"/>
      <c r="V189" s="2"/>
      <c r="W189" s="2"/>
      <c r="X189" s="2"/>
    </row>
    <row r="190" ht="15.75" customHeight="1">
      <c r="R190" s="2"/>
      <c r="S190" s="2"/>
      <c r="T190" s="2"/>
      <c r="U190" s="2"/>
      <c r="V190" s="2"/>
      <c r="W190" s="2"/>
      <c r="X190" s="2"/>
    </row>
    <row r="191" ht="15.75" customHeight="1">
      <c r="R191" s="2"/>
      <c r="S191" s="2"/>
      <c r="T191" s="2"/>
      <c r="U191" s="2"/>
      <c r="V191" s="2"/>
      <c r="W191" s="2"/>
      <c r="X191" s="2"/>
    </row>
    <row r="192" ht="15.75" customHeight="1">
      <c r="R192" s="2"/>
      <c r="S192" s="2"/>
      <c r="T192" s="2"/>
      <c r="U192" s="2"/>
      <c r="V192" s="2"/>
      <c r="W192" s="2"/>
      <c r="X192" s="2"/>
    </row>
    <row r="193" ht="15.75" customHeight="1">
      <c r="R193" s="2"/>
      <c r="S193" s="2"/>
      <c r="T193" s="2"/>
      <c r="U193" s="2"/>
      <c r="V193" s="2"/>
      <c r="W193" s="2"/>
      <c r="X193" s="2"/>
    </row>
    <row r="194" ht="15.75" customHeight="1">
      <c r="R194" s="2"/>
      <c r="S194" s="2"/>
      <c r="T194" s="2"/>
      <c r="U194" s="2"/>
      <c r="V194" s="2"/>
      <c r="W194" s="2"/>
      <c r="X194" s="2"/>
    </row>
    <row r="195" ht="15.75" customHeight="1">
      <c r="R195" s="2"/>
      <c r="S195" s="2"/>
      <c r="T195" s="2"/>
      <c r="U195" s="2"/>
      <c r="V195" s="2"/>
      <c r="W195" s="2"/>
      <c r="X195" s="2"/>
    </row>
    <row r="196" ht="15.75" customHeight="1">
      <c r="R196" s="2"/>
      <c r="S196" s="2"/>
      <c r="T196" s="2"/>
      <c r="U196" s="2"/>
      <c r="V196" s="2"/>
      <c r="W196" s="2"/>
      <c r="X196" s="2"/>
    </row>
    <row r="197" ht="15.75" customHeight="1">
      <c r="R197" s="2"/>
      <c r="S197" s="2"/>
      <c r="T197" s="2"/>
      <c r="U197" s="2"/>
      <c r="V197" s="2"/>
      <c r="W197" s="2"/>
      <c r="X197" s="2"/>
    </row>
    <row r="198" ht="15.75" customHeight="1">
      <c r="R198" s="2"/>
      <c r="S198" s="2"/>
      <c r="T198" s="2"/>
      <c r="U198" s="2"/>
      <c r="V198" s="2"/>
      <c r="W198" s="2"/>
      <c r="X198" s="2"/>
    </row>
    <row r="199" ht="15.75" customHeight="1">
      <c r="R199" s="2"/>
      <c r="S199" s="2"/>
      <c r="T199" s="2"/>
      <c r="U199" s="2"/>
      <c r="V199" s="2"/>
      <c r="W199" s="2"/>
      <c r="X199" s="2"/>
    </row>
    <row r="200" ht="15.75" customHeight="1">
      <c r="R200" s="2"/>
      <c r="S200" s="2"/>
      <c r="T200" s="2"/>
      <c r="U200" s="2"/>
      <c r="V200" s="2"/>
      <c r="W200" s="2"/>
      <c r="X200" s="2"/>
    </row>
    <row r="201" ht="15.75" customHeight="1">
      <c r="R201" s="2"/>
      <c r="S201" s="2"/>
      <c r="T201" s="2"/>
      <c r="U201" s="2"/>
      <c r="V201" s="2"/>
      <c r="W201" s="2"/>
      <c r="X201" s="2"/>
    </row>
    <row r="202" ht="15.75" customHeight="1">
      <c r="R202" s="2"/>
      <c r="S202" s="2"/>
      <c r="T202" s="2"/>
      <c r="U202" s="2"/>
      <c r="V202" s="2"/>
      <c r="W202" s="2"/>
      <c r="X202" s="2"/>
    </row>
    <row r="203" ht="15.75" customHeight="1">
      <c r="R203" s="2"/>
      <c r="S203" s="2"/>
      <c r="T203" s="2"/>
      <c r="U203" s="2"/>
      <c r="V203" s="2"/>
      <c r="W203" s="2"/>
      <c r="X203" s="2"/>
    </row>
    <row r="204" ht="15.75" customHeight="1">
      <c r="R204" s="2"/>
      <c r="S204" s="2"/>
      <c r="T204" s="2"/>
      <c r="U204" s="2"/>
      <c r="V204" s="2"/>
      <c r="W204" s="2"/>
      <c r="X204" s="2"/>
    </row>
    <row r="205" ht="15.75" customHeight="1">
      <c r="R205" s="2"/>
      <c r="S205" s="2"/>
      <c r="T205" s="2"/>
      <c r="U205" s="2"/>
      <c r="V205" s="2"/>
      <c r="W205" s="2"/>
      <c r="X205" s="2"/>
    </row>
    <row r="206" ht="15.75" customHeight="1">
      <c r="R206" s="2"/>
      <c r="S206" s="2"/>
      <c r="T206" s="2"/>
      <c r="U206" s="2"/>
      <c r="V206" s="2"/>
      <c r="W206" s="2"/>
      <c r="X206" s="2"/>
    </row>
    <row r="207" ht="15.75" customHeight="1">
      <c r="R207" s="2"/>
      <c r="S207" s="2"/>
      <c r="T207" s="2"/>
      <c r="U207" s="2"/>
      <c r="V207" s="2"/>
      <c r="W207" s="2"/>
      <c r="X207" s="2"/>
    </row>
    <row r="208" ht="15.75" customHeight="1">
      <c r="R208" s="2"/>
      <c r="S208" s="2"/>
      <c r="T208" s="2"/>
      <c r="U208" s="2"/>
      <c r="V208" s="2"/>
      <c r="W208" s="2"/>
      <c r="X208" s="2"/>
    </row>
    <row r="209" ht="15.75" customHeight="1">
      <c r="R209" s="2"/>
      <c r="S209" s="2"/>
      <c r="T209" s="2"/>
      <c r="U209" s="2"/>
      <c r="V209" s="2"/>
      <c r="W209" s="2"/>
      <c r="X209" s="2"/>
    </row>
    <row r="210" ht="15.75" customHeight="1">
      <c r="R210" s="2"/>
      <c r="S210" s="2"/>
      <c r="T210" s="2"/>
      <c r="U210" s="2"/>
      <c r="V210" s="2"/>
      <c r="W210" s="2"/>
      <c r="X210" s="2"/>
    </row>
    <row r="211" ht="15.75" customHeight="1">
      <c r="R211" s="2"/>
      <c r="S211" s="2"/>
      <c r="T211" s="2"/>
      <c r="U211" s="2"/>
      <c r="V211" s="2"/>
      <c r="W211" s="2"/>
      <c r="X211" s="2"/>
    </row>
    <row r="212" ht="15.75" customHeight="1">
      <c r="R212" s="2"/>
      <c r="S212" s="2"/>
      <c r="T212" s="2"/>
      <c r="U212" s="2"/>
      <c r="V212" s="2"/>
      <c r="W212" s="2"/>
      <c r="X212" s="2"/>
    </row>
    <row r="213" ht="15.75" customHeight="1">
      <c r="R213" s="2"/>
      <c r="S213" s="2"/>
      <c r="T213" s="2"/>
      <c r="U213" s="2"/>
      <c r="V213" s="2"/>
      <c r="W213" s="2"/>
      <c r="X213" s="2"/>
    </row>
    <row r="214" ht="15.75" customHeight="1">
      <c r="R214" s="2"/>
      <c r="S214" s="2"/>
      <c r="T214" s="2"/>
      <c r="U214" s="2"/>
      <c r="V214" s="2"/>
      <c r="W214" s="2"/>
      <c r="X214" s="2"/>
    </row>
    <row r="215" ht="15.75" customHeight="1">
      <c r="R215" s="2"/>
      <c r="S215" s="2"/>
      <c r="T215" s="2"/>
      <c r="U215" s="2"/>
      <c r="V215" s="2"/>
      <c r="W215" s="2"/>
      <c r="X215" s="2"/>
    </row>
    <row r="216" ht="15.75" customHeight="1">
      <c r="R216" s="2"/>
      <c r="S216" s="2"/>
      <c r="T216" s="2"/>
      <c r="U216" s="2"/>
      <c r="V216" s="2"/>
      <c r="W216" s="2"/>
      <c r="X216" s="2"/>
    </row>
    <row r="217" ht="15.75" customHeight="1">
      <c r="R217" s="2"/>
      <c r="S217" s="2"/>
      <c r="T217" s="2"/>
      <c r="U217" s="2"/>
      <c r="V217" s="2"/>
      <c r="W217" s="2"/>
      <c r="X217" s="2"/>
    </row>
    <row r="218" ht="15.75" customHeight="1">
      <c r="R218" s="2"/>
      <c r="S218" s="2"/>
      <c r="T218" s="2"/>
      <c r="U218" s="2"/>
      <c r="V218" s="2"/>
      <c r="W218" s="2"/>
      <c r="X218" s="2"/>
    </row>
    <row r="219" ht="15.75" customHeight="1">
      <c r="R219" s="2"/>
      <c r="S219" s="2"/>
      <c r="T219" s="2"/>
      <c r="U219" s="2"/>
      <c r="V219" s="2"/>
      <c r="W219" s="2"/>
      <c r="X219" s="2"/>
    </row>
    <row r="220" ht="15.75" customHeight="1">
      <c r="R220" s="2"/>
      <c r="S220" s="2"/>
      <c r="T220" s="2"/>
      <c r="U220" s="2"/>
      <c r="V220" s="2"/>
      <c r="W220" s="2"/>
      <c r="X220" s="2"/>
    </row>
    <row r="221" ht="15.75" customHeight="1">
      <c r="R221" s="2"/>
      <c r="S221" s="2"/>
      <c r="T221" s="2"/>
      <c r="U221" s="2"/>
      <c r="V221" s="2"/>
      <c r="W221" s="2"/>
      <c r="X221" s="2"/>
    </row>
    <row r="222" ht="15.75" customHeight="1">
      <c r="R222" s="2"/>
      <c r="S222" s="2"/>
      <c r="T222" s="2"/>
      <c r="U222" s="2"/>
      <c r="V222" s="2"/>
      <c r="W222" s="2"/>
      <c r="X222" s="2"/>
    </row>
    <row r="223" ht="15.75" customHeight="1">
      <c r="R223" s="2"/>
      <c r="S223" s="2"/>
      <c r="T223" s="2"/>
      <c r="U223" s="2"/>
      <c r="V223" s="2"/>
      <c r="W223" s="2"/>
      <c r="X223" s="2"/>
    </row>
    <row r="224" ht="15.75" customHeight="1">
      <c r="R224" s="2"/>
      <c r="S224" s="2"/>
      <c r="T224" s="2"/>
      <c r="U224" s="2"/>
      <c r="V224" s="2"/>
      <c r="W224" s="2"/>
      <c r="X224" s="2"/>
    </row>
    <row r="225" ht="15.75" customHeight="1">
      <c r="R225" s="2"/>
      <c r="S225" s="2"/>
      <c r="T225" s="2"/>
      <c r="U225" s="2"/>
      <c r="V225" s="2"/>
      <c r="W225" s="2"/>
      <c r="X225" s="2"/>
    </row>
    <row r="226" ht="15.75" customHeight="1">
      <c r="R226" s="2"/>
      <c r="S226" s="2"/>
      <c r="T226" s="2"/>
      <c r="U226" s="2"/>
      <c r="V226" s="2"/>
      <c r="W226" s="2"/>
      <c r="X226" s="2"/>
    </row>
    <row r="227" ht="15.75" customHeight="1">
      <c r="R227" s="2"/>
      <c r="S227" s="2"/>
      <c r="T227" s="2"/>
      <c r="U227" s="2"/>
      <c r="V227" s="2"/>
      <c r="W227" s="2"/>
      <c r="X227" s="2"/>
    </row>
    <row r="228" ht="15.75" customHeight="1">
      <c r="R228" s="2"/>
      <c r="S228" s="2"/>
      <c r="T228" s="2"/>
      <c r="U228" s="2"/>
      <c r="V228" s="2"/>
      <c r="W228" s="2"/>
      <c r="X228" s="2"/>
    </row>
    <row r="229" ht="15.75" customHeight="1">
      <c r="R229" s="2"/>
      <c r="S229" s="2"/>
      <c r="T229" s="2"/>
      <c r="U229" s="2"/>
      <c r="V229" s="2"/>
      <c r="W229" s="2"/>
      <c r="X229" s="2"/>
    </row>
    <row r="230" ht="15.75" customHeight="1">
      <c r="R230" s="2"/>
      <c r="S230" s="2"/>
      <c r="T230" s="2"/>
      <c r="U230" s="2"/>
      <c r="V230" s="2"/>
      <c r="W230" s="2"/>
      <c r="X230" s="2"/>
    </row>
    <row r="231" ht="15.75" customHeight="1">
      <c r="R231" s="2"/>
      <c r="S231" s="2"/>
      <c r="T231" s="2"/>
      <c r="U231" s="2"/>
      <c r="V231" s="2"/>
      <c r="W231" s="2"/>
      <c r="X231" s="2"/>
    </row>
    <row r="232" ht="15.75" customHeight="1">
      <c r="R232" s="2"/>
      <c r="S232" s="2"/>
      <c r="T232" s="2"/>
      <c r="U232" s="2"/>
      <c r="V232" s="2"/>
      <c r="W232" s="2"/>
      <c r="X232" s="2"/>
    </row>
    <row r="233" ht="15.75" customHeight="1">
      <c r="R233" s="2"/>
      <c r="S233" s="2"/>
      <c r="T233" s="2"/>
      <c r="U233" s="2"/>
      <c r="V233" s="2"/>
      <c r="W233" s="2"/>
      <c r="X233" s="2"/>
    </row>
    <row r="234" ht="15.75" customHeight="1">
      <c r="R234" s="2"/>
      <c r="S234" s="2"/>
      <c r="T234" s="2"/>
      <c r="U234" s="2"/>
      <c r="V234" s="2"/>
      <c r="W234" s="2"/>
      <c r="X234" s="2"/>
    </row>
    <row r="235" ht="15.75" customHeight="1">
      <c r="R235" s="2"/>
      <c r="S235" s="2"/>
      <c r="T235" s="2"/>
      <c r="U235" s="2"/>
      <c r="V235" s="2"/>
      <c r="W235" s="2"/>
      <c r="X235" s="2"/>
    </row>
    <row r="236" ht="15.75" customHeight="1">
      <c r="R236" s="2"/>
      <c r="S236" s="2"/>
      <c r="T236" s="2"/>
      <c r="U236" s="2"/>
      <c r="V236" s="2"/>
      <c r="W236" s="2"/>
      <c r="X236" s="2"/>
    </row>
    <row r="237" ht="15.75" customHeight="1">
      <c r="R237" s="2"/>
      <c r="S237" s="2"/>
      <c r="T237" s="2"/>
      <c r="U237" s="2"/>
      <c r="V237" s="2"/>
      <c r="W237" s="2"/>
      <c r="X237" s="2"/>
    </row>
    <row r="238" ht="15.75" customHeight="1">
      <c r="R238" s="2"/>
      <c r="S238" s="2"/>
      <c r="T238" s="2"/>
      <c r="U238" s="2"/>
      <c r="V238" s="2"/>
      <c r="W238" s="2"/>
      <c r="X238" s="2"/>
    </row>
    <row r="239" ht="15.75" customHeight="1">
      <c r="R239" s="2"/>
      <c r="S239" s="2"/>
      <c r="T239" s="2"/>
      <c r="U239" s="2"/>
      <c r="V239" s="2"/>
      <c r="W239" s="2"/>
      <c r="X239" s="2"/>
    </row>
    <row r="240" ht="15.75" customHeight="1">
      <c r="R240" s="2"/>
      <c r="S240" s="2"/>
      <c r="T240" s="2"/>
      <c r="U240" s="2"/>
      <c r="V240" s="2"/>
      <c r="W240" s="2"/>
      <c r="X240" s="2"/>
    </row>
    <row r="241" ht="15.75" customHeight="1">
      <c r="R241" s="2"/>
      <c r="S241" s="2"/>
      <c r="T241" s="2"/>
      <c r="U241" s="2"/>
      <c r="V241" s="2"/>
      <c r="W241" s="2"/>
      <c r="X241" s="2"/>
    </row>
    <row r="242" ht="15.75" customHeight="1">
      <c r="R242" s="2"/>
      <c r="S242" s="2"/>
      <c r="T242" s="2"/>
      <c r="U242" s="2"/>
      <c r="V242" s="2"/>
      <c r="W242" s="2"/>
      <c r="X242" s="2"/>
    </row>
    <row r="243" ht="15.75" customHeight="1">
      <c r="R243" s="2"/>
      <c r="S243" s="2"/>
      <c r="T243" s="2"/>
      <c r="U243" s="2"/>
      <c r="V243" s="2"/>
      <c r="W243" s="2"/>
      <c r="X243" s="2"/>
    </row>
    <row r="244" ht="15.75" customHeight="1">
      <c r="R244" s="2"/>
      <c r="S244" s="2"/>
      <c r="T244" s="2"/>
      <c r="U244" s="2"/>
      <c r="V244" s="2"/>
      <c r="W244" s="2"/>
      <c r="X244" s="2"/>
    </row>
    <row r="245" ht="15.75" customHeight="1">
      <c r="R245" s="2"/>
      <c r="S245" s="2"/>
      <c r="T245" s="2"/>
      <c r="U245" s="2"/>
      <c r="V245" s="2"/>
      <c r="W245" s="2"/>
      <c r="X245" s="2"/>
    </row>
    <row r="246" ht="15.75" customHeight="1">
      <c r="R246" s="2"/>
      <c r="S246" s="2"/>
      <c r="T246" s="2"/>
      <c r="U246" s="2"/>
      <c r="V246" s="2"/>
      <c r="W246" s="2"/>
      <c r="X246" s="2"/>
    </row>
    <row r="247" ht="15.75" customHeight="1">
      <c r="R247" s="2"/>
      <c r="S247" s="2"/>
      <c r="T247" s="2"/>
      <c r="U247" s="2"/>
      <c r="V247" s="2"/>
      <c r="W247" s="2"/>
      <c r="X247" s="2"/>
    </row>
    <row r="248" ht="15.75" customHeight="1">
      <c r="R248" s="2"/>
      <c r="S248" s="2"/>
      <c r="T248" s="2"/>
      <c r="U248" s="2"/>
      <c r="V248" s="2"/>
      <c r="W248" s="2"/>
      <c r="X248" s="2"/>
    </row>
    <row r="249" ht="15.75" customHeight="1">
      <c r="R249" s="2"/>
      <c r="S249" s="2"/>
      <c r="T249" s="2"/>
      <c r="U249" s="2"/>
      <c r="V249" s="2"/>
      <c r="W249" s="2"/>
      <c r="X249" s="2"/>
    </row>
    <row r="250" ht="15.75" customHeight="1">
      <c r="R250" s="2"/>
      <c r="S250" s="2"/>
      <c r="T250" s="2"/>
      <c r="U250" s="2"/>
      <c r="V250" s="2"/>
      <c r="W250" s="2"/>
      <c r="X250" s="2"/>
    </row>
    <row r="251" ht="15.75" customHeight="1">
      <c r="R251" s="2"/>
      <c r="S251" s="2"/>
      <c r="T251" s="2"/>
      <c r="U251" s="2"/>
      <c r="V251" s="2"/>
      <c r="W251" s="2"/>
      <c r="X251" s="2"/>
    </row>
    <row r="252" ht="15.75" customHeight="1">
      <c r="R252" s="2"/>
      <c r="S252" s="2"/>
      <c r="T252" s="2"/>
      <c r="U252" s="2"/>
      <c r="V252" s="2"/>
      <c r="W252" s="2"/>
      <c r="X252" s="2"/>
    </row>
    <row r="253" ht="15.75" customHeight="1">
      <c r="R253" s="2"/>
      <c r="S253" s="2"/>
      <c r="T253" s="2"/>
      <c r="U253" s="2"/>
      <c r="V253" s="2"/>
      <c r="W253" s="2"/>
      <c r="X253" s="2"/>
    </row>
    <row r="254" ht="15.75" customHeight="1">
      <c r="R254" s="2"/>
      <c r="S254" s="2"/>
      <c r="T254" s="2"/>
      <c r="U254" s="2"/>
      <c r="V254" s="2"/>
      <c r="W254" s="2"/>
      <c r="X254" s="2"/>
    </row>
    <row r="255" ht="15.75" customHeight="1">
      <c r="R255" s="2"/>
      <c r="S255" s="2"/>
      <c r="T255" s="2"/>
      <c r="U255" s="2"/>
      <c r="V255" s="2"/>
      <c r="W255" s="2"/>
      <c r="X255" s="2"/>
    </row>
    <row r="256" ht="15.75" customHeight="1">
      <c r="R256" s="2"/>
      <c r="S256" s="2"/>
      <c r="T256" s="2"/>
      <c r="U256" s="2"/>
      <c r="V256" s="2"/>
      <c r="W256" s="2"/>
      <c r="X256" s="2"/>
    </row>
    <row r="257" ht="15.75" customHeight="1">
      <c r="R257" s="2"/>
      <c r="S257" s="2"/>
      <c r="T257" s="2"/>
      <c r="U257" s="2"/>
      <c r="V257" s="2"/>
      <c r="W257" s="2"/>
      <c r="X257" s="2"/>
    </row>
    <row r="258" ht="15.75" customHeight="1">
      <c r="R258" s="2"/>
      <c r="S258" s="2"/>
      <c r="T258" s="2"/>
      <c r="U258" s="2"/>
      <c r="V258" s="2"/>
      <c r="W258" s="2"/>
      <c r="X258" s="2"/>
    </row>
    <row r="259" ht="15.75" customHeight="1">
      <c r="R259" s="2"/>
      <c r="S259" s="2"/>
      <c r="T259" s="2"/>
      <c r="U259" s="2"/>
      <c r="V259" s="2"/>
      <c r="W259" s="2"/>
      <c r="X259" s="2"/>
    </row>
    <row r="260" ht="15.75" customHeight="1">
      <c r="R260" s="2"/>
      <c r="S260" s="2"/>
      <c r="T260" s="2"/>
      <c r="U260" s="2"/>
      <c r="V260" s="2"/>
      <c r="W260" s="2"/>
      <c r="X260" s="2"/>
    </row>
    <row r="261" ht="15.75" customHeight="1">
      <c r="R261" s="2"/>
      <c r="S261" s="2"/>
      <c r="T261" s="2"/>
      <c r="U261" s="2"/>
      <c r="V261" s="2"/>
      <c r="W261" s="2"/>
      <c r="X261" s="2"/>
    </row>
    <row r="262" ht="15.75" customHeight="1">
      <c r="R262" s="2"/>
      <c r="S262" s="2"/>
      <c r="T262" s="2"/>
      <c r="U262" s="2"/>
      <c r="V262" s="2"/>
      <c r="W262" s="2"/>
      <c r="X262" s="2"/>
    </row>
    <row r="263" ht="15.75" customHeight="1">
      <c r="R263" s="2"/>
      <c r="S263" s="2"/>
      <c r="T263" s="2"/>
      <c r="U263" s="2"/>
      <c r="V263" s="2"/>
      <c r="W263" s="2"/>
      <c r="X263" s="2"/>
    </row>
    <row r="264" ht="15.75" customHeight="1">
      <c r="R264" s="2"/>
      <c r="S264" s="2"/>
      <c r="T264" s="2"/>
      <c r="U264" s="2"/>
      <c r="V264" s="2"/>
      <c r="W264" s="2"/>
      <c r="X264" s="2"/>
    </row>
    <row r="265" ht="15.75" customHeight="1">
      <c r="R265" s="2"/>
      <c r="S265" s="2"/>
      <c r="T265" s="2"/>
      <c r="U265" s="2"/>
      <c r="V265" s="2"/>
      <c r="W265" s="2"/>
      <c r="X265" s="2"/>
    </row>
    <row r="266" ht="15.75" customHeight="1">
      <c r="R266" s="2"/>
      <c r="S266" s="2"/>
      <c r="T266" s="2"/>
      <c r="U266" s="2"/>
      <c r="V266" s="2"/>
      <c r="W266" s="2"/>
      <c r="X266" s="2"/>
    </row>
    <row r="267" ht="15.75" customHeight="1">
      <c r="R267" s="2"/>
      <c r="S267" s="2"/>
      <c r="T267" s="2"/>
      <c r="U267" s="2"/>
      <c r="V267" s="2"/>
      <c r="W267" s="2"/>
      <c r="X267" s="2"/>
    </row>
    <row r="268" ht="15.75" customHeight="1">
      <c r="R268" s="2"/>
      <c r="S268" s="2"/>
      <c r="T268" s="2"/>
      <c r="U268" s="2"/>
      <c r="V268" s="2"/>
      <c r="W268" s="2"/>
      <c r="X268" s="2"/>
    </row>
    <row r="269" ht="15.75" customHeight="1">
      <c r="R269" s="2"/>
      <c r="S269" s="2"/>
      <c r="T269" s="2"/>
      <c r="U269" s="2"/>
      <c r="V269" s="2"/>
      <c r="W269" s="2"/>
      <c r="X269" s="2"/>
    </row>
    <row r="270" ht="15.75" customHeight="1">
      <c r="R270" s="2"/>
      <c r="S270" s="2"/>
      <c r="T270" s="2"/>
      <c r="U270" s="2"/>
      <c r="V270" s="2"/>
      <c r="W270" s="2"/>
      <c r="X270" s="2"/>
    </row>
    <row r="271" ht="15.75" customHeight="1">
      <c r="R271" s="2"/>
      <c r="S271" s="2"/>
      <c r="T271" s="2"/>
      <c r="U271" s="2"/>
      <c r="V271" s="2"/>
      <c r="W271" s="2"/>
      <c r="X271" s="2"/>
    </row>
    <row r="272" ht="15.75" customHeight="1">
      <c r="R272" s="2"/>
      <c r="S272" s="2"/>
      <c r="T272" s="2"/>
      <c r="U272" s="2"/>
      <c r="V272" s="2"/>
      <c r="W272" s="2"/>
      <c r="X272" s="2"/>
    </row>
    <row r="273" ht="15.75" customHeight="1">
      <c r="R273" s="2"/>
      <c r="S273" s="2"/>
      <c r="T273" s="2"/>
      <c r="U273" s="2"/>
      <c r="V273" s="2"/>
      <c r="W273" s="2"/>
      <c r="X273" s="2"/>
    </row>
    <row r="274" ht="15.75" customHeight="1">
      <c r="R274" s="2"/>
      <c r="S274" s="2"/>
      <c r="T274" s="2"/>
      <c r="U274" s="2"/>
      <c r="V274" s="2"/>
      <c r="W274" s="2"/>
      <c r="X274" s="2"/>
    </row>
    <row r="275" ht="15.75" customHeight="1">
      <c r="R275" s="2"/>
      <c r="S275" s="2"/>
      <c r="T275" s="2"/>
      <c r="U275" s="2"/>
      <c r="V275" s="2"/>
      <c r="W275" s="2"/>
      <c r="X275" s="2"/>
    </row>
    <row r="276" ht="15.75" customHeight="1">
      <c r="R276" s="2"/>
      <c r="S276" s="2"/>
      <c r="T276" s="2"/>
      <c r="U276" s="2"/>
      <c r="V276" s="2"/>
      <c r="W276" s="2"/>
      <c r="X276" s="2"/>
    </row>
    <row r="277" ht="15.75" customHeight="1">
      <c r="R277" s="2"/>
      <c r="S277" s="2"/>
      <c r="T277" s="2"/>
      <c r="U277" s="2"/>
      <c r="V277" s="2"/>
      <c r="W277" s="2"/>
      <c r="X277" s="2"/>
    </row>
    <row r="278" ht="15.75" customHeight="1">
      <c r="R278" s="2"/>
      <c r="S278" s="2"/>
      <c r="T278" s="2"/>
      <c r="U278" s="2"/>
      <c r="V278" s="2"/>
      <c r="W278" s="2"/>
      <c r="X278" s="2"/>
    </row>
    <row r="279" ht="15.75" customHeight="1">
      <c r="R279" s="2"/>
      <c r="S279" s="2"/>
      <c r="T279" s="2"/>
      <c r="U279" s="2"/>
      <c r="V279" s="2"/>
      <c r="W279" s="2"/>
      <c r="X279" s="2"/>
    </row>
    <row r="280" ht="15.75" customHeight="1">
      <c r="R280" s="2"/>
      <c r="S280" s="2"/>
      <c r="T280" s="2"/>
      <c r="U280" s="2"/>
      <c r="V280" s="2"/>
      <c r="W280" s="2"/>
      <c r="X280" s="2"/>
    </row>
    <row r="281" ht="15.75" customHeight="1">
      <c r="R281" s="2"/>
      <c r="S281" s="2"/>
      <c r="T281" s="2"/>
      <c r="U281" s="2"/>
      <c r="V281" s="2"/>
      <c r="W281" s="2"/>
      <c r="X281" s="2"/>
    </row>
    <row r="282" ht="15.75" customHeight="1">
      <c r="R282" s="2"/>
      <c r="S282" s="2"/>
      <c r="T282" s="2"/>
      <c r="U282" s="2"/>
      <c r="V282" s="2"/>
      <c r="W282" s="2"/>
      <c r="X282" s="2"/>
    </row>
    <row r="283" ht="15.75" customHeight="1">
      <c r="R283" s="2"/>
      <c r="S283" s="2"/>
      <c r="T283" s="2"/>
      <c r="U283" s="2"/>
      <c r="V283" s="2"/>
      <c r="W283" s="2"/>
      <c r="X283" s="2"/>
    </row>
    <row r="284" ht="15.75" customHeight="1">
      <c r="R284" s="2"/>
      <c r="S284" s="2"/>
      <c r="T284" s="2"/>
      <c r="U284" s="2"/>
      <c r="V284" s="2"/>
      <c r="W284" s="2"/>
      <c r="X284" s="2"/>
    </row>
    <row r="285" ht="15.75" customHeight="1">
      <c r="R285" s="2"/>
      <c r="S285" s="2"/>
      <c r="T285" s="2"/>
      <c r="U285" s="2"/>
      <c r="V285" s="2"/>
      <c r="W285" s="2"/>
      <c r="X285" s="2"/>
    </row>
    <row r="286" ht="15.75" customHeight="1">
      <c r="R286" s="2"/>
      <c r="S286" s="2"/>
      <c r="T286" s="2"/>
      <c r="U286" s="2"/>
      <c r="V286" s="2"/>
      <c r="W286" s="2"/>
      <c r="X286" s="2"/>
    </row>
    <row r="287" ht="15.75" customHeight="1">
      <c r="R287" s="2"/>
      <c r="S287" s="2"/>
      <c r="T287" s="2"/>
      <c r="U287" s="2"/>
      <c r="V287" s="2"/>
      <c r="W287" s="2"/>
      <c r="X287" s="2"/>
    </row>
    <row r="288" ht="15.75" customHeight="1">
      <c r="R288" s="2"/>
      <c r="S288" s="2"/>
      <c r="T288" s="2"/>
      <c r="U288" s="2"/>
      <c r="V288" s="2"/>
      <c r="W288" s="2"/>
      <c r="X288" s="2"/>
    </row>
    <row r="289" ht="15.75" customHeight="1">
      <c r="R289" s="2"/>
      <c r="S289" s="2"/>
      <c r="T289" s="2"/>
      <c r="U289" s="2"/>
      <c r="V289" s="2"/>
      <c r="W289" s="2"/>
      <c r="X289" s="2"/>
    </row>
    <row r="290" ht="15.75" customHeight="1">
      <c r="R290" s="2"/>
      <c r="S290" s="2"/>
      <c r="T290" s="2"/>
      <c r="U290" s="2"/>
      <c r="V290" s="2"/>
      <c r="W290" s="2"/>
      <c r="X290" s="2"/>
    </row>
    <row r="291" ht="15.75" customHeight="1">
      <c r="R291" s="2"/>
      <c r="S291" s="2"/>
      <c r="T291" s="2"/>
      <c r="U291" s="2"/>
      <c r="V291" s="2"/>
      <c r="W291" s="2"/>
      <c r="X291" s="2"/>
    </row>
    <row r="292" ht="15.75" customHeight="1">
      <c r="R292" s="2"/>
      <c r="S292" s="2"/>
      <c r="T292" s="2"/>
      <c r="U292" s="2"/>
      <c r="V292" s="2"/>
      <c r="W292" s="2"/>
      <c r="X292" s="2"/>
    </row>
    <row r="293" ht="15.75" customHeight="1">
      <c r="R293" s="2"/>
      <c r="S293" s="2"/>
      <c r="T293" s="2"/>
      <c r="U293" s="2"/>
      <c r="V293" s="2"/>
      <c r="W293" s="2"/>
      <c r="X293" s="2"/>
    </row>
    <row r="294" ht="15.75" customHeight="1">
      <c r="R294" s="2"/>
      <c r="S294" s="2"/>
      <c r="T294" s="2"/>
      <c r="U294" s="2"/>
      <c r="V294" s="2"/>
      <c r="W294" s="2"/>
      <c r="X294" s="2"/>
    </row>
    <row r="295" ht="15.75" customHeight="1">
      <c r="R295" s="2"/>
      <c r="S295" s="2"/>
      <c r="T295" s="2"/>
      <c r="U295" s="2"/>
      <c r="V295" s="2"/>
      <c r="W295" s="2"/>
      <c r="X295" s="2"/>
    </row>
    <row r="296" ht="15.75" customHeight="1">
      <c r="R296" s="2"/>
      <c r="S296" s="2"/>
      <c r="T296" s="2"/>
      <c r="U296" s="2"/>
      <c r="V296" s="2"/>
      <c r="W296" s="2"/>
      <c r="X296" s="2"/>
    </row>
    <row r="297" ht="15.75" customHeight="1">
      <c r="R297" s="2"/>
      <c r="S297" s="2"/>
      <c r="T297" s="2"/>
      <c r="U297" s="2"/>
      <c r="V297" s="2"/>
      <c r="W297" s="2"/>
      <c r="X297" s="2"/>
    </row>
    <row r="298" ht="15.75" customHeight="1">
      <c r="R298" s="2"/>
      <c r="S298" s="2"/>
      <c r="T298" s="2"/>
      <c r="U298" s="2"/>
      <c r="V298" s="2"/>
      <c r="W298" s="2"/>
      <c r="X298" s="2"/>
    </row>
    <row r="299" ht="15.75" customHeight="1">
      <c r="R299" s="2"/>
      <c r="S299" s="2"/>
      <c r="T299" s="2"/>
      <c r="U299" s="2"/>
      <c r="V299" s="2"/>
      <c r="W299" s="2"/>
      <c r="X299" s="2"/>
    </row>
    <row r="300" ht="15.75" customHeight="1">
      <c r="R300" s="2"/>
      <c r="S300" s="2"/>
      <c r="T300" s="2"/>
      <c r="U300" s="2"/>
      <c r="V300" s="2"/>
      <c r="W300" s="2"/>
      <c r="X300" s="2"/>
    </row>
    <row r="301" ht="15.75" customHeight="1">
      <c r="R301" s="2"/>
      <c r="S301" s="2"/>
      <c r="T301" s="2"/>
      <c r="U301" s="2"/>
      <c r="V301" s="2"/>
      <c r="W301" s="2"/>
      <c r="X301" s="2"/>
    </row>
    <row r="302" ht="15.75" customHeight="1">
      <c r="R302" s="2"/>
      <c r="S302" s="2"/>
      <c r="T302" s="2"/>
      <c r="U302" s="2"/>
      <c r="V302" s="2"/>
      <c r="W302" s="2"/>
      <c r="X302" s="2"/>
    </row>
    <row r="303" ht="15.75" customHeight="1">
      <c r="R303" s="2"/>
      <c r="S303" s="2"/>
      <c r="T303" s="2"/>
      <c r="U303" s="2"/>
      <c r="V303" s="2"/>
      <c r="W303" s="2"/>
      <c r="X303" s="2"/>
    </row>
    <row r="304" ht="15.75" customHeight="1">
      <c r="R304" s="2"/>
      <c r="S304" s="2"/>
      <c r="T304" s="2"/>
      <c r="U304" s="2"/>
      <c r="V304" s="2"/>
      <c r="W304" s="2"/>
      <c r="X304" s="2"/>
    </row>
    <row r="305" ht="15.75" customHeight="1">
      <c r="R305" s="2"/>
      <c r="S305" s="2"/>
      <c r="T305" s="2"/>
      <c r="U305" s="2"/>
      <c r="V305" s="2"/>
      <c r="W305" s="2"/>
      <c r="X305" s="2"/>
    </row>
    <row r="306" ht="15.75" customHeight="1">
      <c r="R306" s="2"/>
      <c r="S306" s="2"/>
      <c r="T306" s="2"/>
      <c r="U306" s="2"/>
      <c r="V306" s="2"/>
      <c r="W306" s="2"/>
      <c r="X306" s="2"/>
    </row>
    <row r="307" ht="15.75" customHeight="1">
      <c r="R307" s="2"/>
      <c r="S307" s="2"/>
      <c r="T307" s="2"/>
      <c r="U307" s="2"/>
      <c r="V307" s="2"/>
      <c r="W307" s="2"/>
      <c r="X307" s="2"/>
    </row>
    <row r="308" ht="15.75" customHeight="1">
      <c r="R308" s="2"/>
      <c r="S308" s="2"/>
      <c r="T308" s="2"/>
      <c r="U308" s="2"/>
      <c r="V308" s="2"/>
      <c r="W308" s="2"/>
      <c r="X308" s="2"/>
    </row>
    <row r="309" ht="15.75" customHeight="1">
      <c r="R309" s="2"/>
      <c r="S309" s="2"/>
      <c r="T309" s="2"/>
      <c r="U309" s="2"/>
      <c r="V309" s="2"/>
      <c r="W309" s="2"/>
      <c r="X309" s="2"/>
    </row>
    <row r="310" ht="15.75" customHeight="1">
      <c r="R310" s="2"/>
      <c r="S310" s="2"/>
      <c r="T310" s="2"/>
      <c r="U310" s="2"/>
      <c r="V310" s="2"/>
      <c r="W310" s="2"/>
      <c r="X310" s="2"/>
    </row>
    <row r="311" ht="15.75" customHeight="1">
      <c r="R311" s="2"/>
      <c r="S311" s="2"/>
      <c r="T311" s="2"/>
      <c r="U311" s="2"/>
      <c r="V311" s="2"/>
      <c r="W311" s="2"/>
      <c r="X311" s="2"/>
    </row>
    <row r="312" ht="15.75" customHeight="1">
      <c r="R312" s="2"/>
      <c r="S312" s="2"/>
      <c r="T312" s="2"/>
      <c r="U312" s="2"/>
      <c r="V312" s="2"/>
      <c r="W312" s="2"/>
      <c r="X312" s="2"/>
    </row>
    <row r="313" ht="15.75" customHeight="1">
      <c r="R313" s="2"/>
      <c r="S313" s="2"/>
      <c r="T313" s="2"/>
      <c r="U313" s="2"/>
      <c r="V313" s="2"/>
      <c r="W313" s="2"/>
      <c r="X313" s="2"/>
    </row>
    <row r="314" ht="15.75" customHeight="1">
      <c r="R314" s="2"/>
      <c r="S314" s="2"/>
      <c r="T314" s="2"/>
      <c r="U314" s="2"/>
      <c r="V314" s="2"/>
      <c r="W314" s="2"/>
      <c r="X314" s="2"/>
    </row>
    <row r="315" ht="15.75" customHeight="1">
      <c r="R315" s="2"/>
      <c r="S315" s="2"/>
      <c r="T315" s="2"/>
      <c r="U315" s="2"/>
      <c r="V315" s="2"/>
      <c r="W315" s="2"/>
      <c r="X315" s="2"/>
    </row>
    <row r="316" ht="15.75" customHeight="1">
      <c r="R316" s="2"/>
      <c r="S316" s="2"/>
      <c r="T316" s="2"/>
      <c r="U316" s="2"/>
      <c r="V316" s="2"/>
      <c r="W316" s="2"/>
      <c r="X316" s="2"/>
    </row>
    <row r="317" ht="15.75" customHeight="1">
      <c r="R317" s="2"/>
      <c r="S317" s="2"/>
      <c r="T317" s="2"/>
      <c r="U317" s="2"/>
      <c r="V317" s="2"/>
      <c r="W317" s="2"/>
      <c r="X317" s="2"/>
    </row>
    <row r="318" ht="15.75" customHeight="1">
      <c r="R318" s="2"/>
      <c r="S318" s="2"/>
      <c r="T318" s="2"/>
      <c r="U318" s="2"/>
      <c r="V318" s="2"/>
      <c r="W318" s="2"/>
      <c r="X318" s="2"/>
    </row>
    <row r="319" ht="15.75" customHeight="1">
      <c r="R319" s="2"/>
      <c r="S319" s="2"/>
      <c r="T319" s="2"/>
      <c r="U319" s="2"/>
      <c r="V319" s="2"/>
      <c r="W319" s="2"/>
      <c r="X319" s="2"/>
    </row>
    <row r="320" ht="15.75" customHeight="1">
      <c r="R320" s="2"/>
      <c r="S320" s="2"/>
      <c r="T320" s="2"/>
      <c r="U320" s="2"/>
      <c r="V320" s="2"/>
      <c r="W320" s="2"/>
      <c r="X320" s="2"/>
    </row>
    <row r="321" ht="15.75" customHeight="1">
      <c r="R321" s="2"/>
      <c r="S321" s="2"/>
      <c r="T321" s="2"/>
      <c r="U321" s="2"/>
      <c r="V321" s="2"/>
      <c r="W321" s="2"/>
      <c r="X321" s="2"/>
    </row>
    <row r="322" ht="15.75" customHeight="1">
      <c r="R322" s="2"/>
      <c r="S322" s="2"/>
      <c r="T322" s="2"/>
      <c r="U322" s="2"/>
      <c r="V322" s="2"/>
      <c r="W322" s="2"/>
      <c r="X322" s="2"/>
    </row>
    <row r="323" ht="15.75" customHeight="1">
      <c r="R323" s="2"/>
      <c r="S323" s="2"/>
      <c r="T323" s="2"/>
      <c r="U323" s="2"/>
      <c r="V323" s="2"/>
      <c r="W323" s="2"/>
      <c r="X323" s="2"/>
    </row>
    <row r="324" ht="15.75" customHeight="1">
      <c r="R324" s="2"/>
      <c r="S324" s="2"/>
      <c r="T324" s="2"/>
      <c r="U324" s="2"/>
      <c r="V324" s="2"/>
      <c r="W324" s="2"/>
      <c r="X324" s="2"/>
    </row>
    <row r="325" ht="15.75" customHeight="1">
      <c r="R325" s="2"/>
      <c r="S325" s="2"/>
      <c r="T325" s="2"/>
      <c r="U325" s="2"/>
      <c r="V325" s="2"/>
      <c r="W325" s="2"/>
      <c r="X325" s="2"/>
    </row>
    <row r="326" ht="15.75" customHeight="1">
      <c r="R326" s="2"/>
      <c r="S326" s="2"/>
      <c r="T326" s="2"/>
      <c r="U326" s="2"/>
      <c r="V326" s="2"/>
      <c r="W326" s="2"/>
      <c r="X326" s="2"/>
    </row>
    <row r="327" ht="15.75" customHeight="1">
      <c r="R327" s="2"/>
      <c r="S327" s="2"/>
      <c r="T327" s="2"/>
      <c r="U327" s="2"/>
      <c r="V327" s="2"/>
      <c r="W327" s="2"/>
      <c r="X327" s="2"/>
    </row>
    <row r="328" ht="15.75" customHeight="1">
      <c r="R328" s="2"/>
      <c r="S328" s="2"/>
      <c r="T328" s="2"/>
      <c r="U328" s="2"/>
      <c r="V328" s="2"/>
      <c r="W328" s="2"/>
      <c r="X328" s="2"/>
    </row>
    <row r="329" ht="15.75" customHeight="1">
      <c r="R329" s="2"/>
      <c r="S329" s="2"/>
      <c r="T329" s="2"/>
      <c r="U329" s="2"/>
      <c r="V329" s="2"/>
      <c r="W329" s="2"/>
      <c r="X329" s="2"/>
    </row>
    <row r="330" ht="15.75" customHeight="1">
      <c r="R330" s="2"/>
      <c r="S330" s="2"/>
      <c r="T330" s="2"/>
      <c r="U330" s="2"/>
      <c r="V330" s="2"/>
      <c r="W330" s="2"/>
      <c r="X330" s="2"/>
    </row>
    <row r="331" ht="15.75" customHeight="1">
      <c r="R331" s="2"/>
      <c r="S331" s="2"/>
      <c r="T331" s="2"/>
      <c r="U331" s="2"/>
      <c r="V331" s="2"/>
      <c r="W331" s="2"/>
      <c r="X331" s="2"/>
    </row>
    <row r="332" ht="15.75" customHeight="1">
      <c r="R332" s="2"/>
      <c r="S332" s="2"/>
      <c r="T332" s="2"/>
      <c r="U332" s="2"/>
      <c r="V332" s="2"/>
      <c r="W332" s="2"/>
      <c r="X332" s="2"/>
    </row>
    <row r="333" ht="15.75" customHeight="1">
      <c r="R333" s="2"/>
      <c r="S333" s="2"/>
      <c r="T333" s="2"/>
      <c r="U333" s="2"/>
      <c r="V333" s="2"/>
      <c r="W333" s="2"/>
      <c r="X333" s="2"/>
    </row>
    <row r="334" ht="15.75" customHeight="1">
      <c r="R334" s="2"/>
      <c r="S334" s="2"/>
      <c r="T334" s="2"/>
      <c r="U334" s="2"/>
      <c r="V334" s="2"/>
      <c r="W334" s="2"/>
      <c r="X334" s="2"/>
    </row>
    <row r="335" ht="15.75" customHeight="1">
      <c r="R335" s="2"/>
      <c r="S335" s="2"/>
      <c r="T335" s="2"/>
      <c r="U335" s="2"/>
      <c r="V335" s="2"/>
      <c r="W335" s="2"/>
      <c r="X335" s="2"/>
    </row>
    <row r="336" ht="15.75" customHeight="1">
      <c r="R336" s="2"/>
      <c r="S336" s="2"/>
      <c r="T336" s="2"/>
      <c r="U336" s="2"/>
      <c r="V336" s="2"/>
      <c r="W336" s="2"/>
      <c r="X336" s="2"/>
    </row>
    <row r="337" ht="15.75" customHeight="1">
      <c r="R337" s="2"/>
      <c r="S337" s="2"/>
      <c r="T337" s="2"/>
      <c r="U337" s="2"/>
      <c r="V337" s="2"/>
      <c r="W337" s="2"/>
      <c r="X337" s="2"/>
    </row>
    <row r="338" ht="15.75" customHeight="1">
      <c r="R338" s="2"/>
      <c r="S338" s="2"/>
      <c r="T338" s="2"/>
      <c r="U338" s="2"/>
      <c r="V338" s="2"/>
      <c r="W338" s="2"/>
      <c r="X338" s="2"/>
    </row>
    <row r="339" ht="15.75" customHeight="1">
      <c r="R339" s="2"/>
      <c r="S339" s="2"/>
      <c r="T339" s="2"/>
      <c r="U339" s="2"/>
      <c r="V339" s="2"/>
      <c r="W339" s="2"/>
      <c r="X339" s="2"/>
    </row>
    <row r="340" ht="15.75" customHeight="1">
      <c r="R340" s="2"/>
      <c r="S340" s="2"/>
      <c r="T340" s="2"/>
      <c r="U340" s="2"/>
      <c r="V340" s="2"/>
      <c r="W340" s="2"/>
      <c r="X340" s="2"/>
    </row>
    <row r="341" ht="15.75" customHeight="1">
      <c r="R341" s="2"/>
      <c r="S341" s="2"/>
      <c r="T341" s="2"/>
      <c r="U341" s="2"/>
      <c r="V341" s="2"/>
      <c r="W341" s="2"/>
      <c r="X341" s="2"/>
    </row>
    <row r="342" ht="15.75" customHeight="1">
      <c r="R342" s="2"/>
      <c r="S342" s="2"/>
      <c r="T342" s="2"/>
      <c r="U342" s="2"/>
      <c r="V342" s="2"/>
      <c r="W342" s="2"/>
      <c r="X342" s="2"/>
    </row>
    <row r="343" ht="15.75" customHeight="1">
      <c r="R343" s="2"/>
      <c r="S343" s="2"/>
      <c r="T343" s="2"/>
      <c r="U343" s="2"/>
      <c r="V343" s="2"/>
      <c r="W343" s="2"/>
      <c r="X343" s="2"/>
    </row>
    <row r="344" ht="15.75" customHeight="1">
      <c r="R344" s="2"/>
      <c r="S344" s="2"/>
      <c r="T344" s="2"/>
      <c r="U344" s="2"/>
      <c r="V344" s="2"/>
      <c r="W344" s="2"/>
      <c r="X344" s="2"/>
    </row>
    <row r="345" ht="15.75" customHeight="1">
      <c r="R345" s="2"/>
      <c r="S345" s="2"/>
      <c r="T345" s="2"/>
      <c r="U345" s="2"/>
      <c r="V345" s="2"/>
      <c r="W345" s="2"/>
      <c r="X345" s="2"/>
    </row>
    <row r="346" ht="15.75" customHeight="1">
      <c r="R346" s="2"/>
      <c r="S346" s="2"/>
      <c r="T346" s="2"/>
      <c r="U346" s="2"/>
      <c r="V346" s="2"/>
      <c r="W346" s="2"/>
      <c r="X346" s="2"/>
    </row>
    <row r="347" ht="15.75" customHeight="1">
      <c r="R347" s="2"/>
      <c r="S347" s="2"/>
      <c r="T347" s="2"/>
      <c r="U347" s="2"/>
      <c r="V347" s="2"/>
      <c r="W347" s="2"/>
      <c r="X347" s="2"/>
    </row>
    <row r="348" ht="15.75" customHeight="1">
      <c r="R348" s="2"/>
      <c r="S348" s="2"/>
      <c r="T348" s="2"/>
      <c r="U348" s="2"/>
      <c r="V348" s="2"/>
      <c r="W348" s="2"/>
      <c r="X348" s="2"/>
    </row>
    <row r="349" ht="15.75" customHeight="1">
      <c r="R349" s="2"/>
      <c r="S349" s="2"/>
      <c r="T349" s="2"/>
      <c r="U349" s="2"/>
      <c r="V349" s="2"/>
      <c r="W349" s="2"/>
      <c r="X349" s="2"/>
    </row>
    <row r="350" ht="15.75" customHeight="1">
      <c r="R350" s="2"/>
      <c r="S350" s="2"/>
      <c r="T350" s="2"/>
      <c r="U350" s="2"/>
      <c r="V350" s="2"/>
      <c r="W350" s="2"/>
      <c r="X350" s="2"/>
    </row>
    <row r="351" ht="15.75" customHeight="1">
      <c r="R351" s="2"/>
      <c r="S351" s="2"/>
      <c r="T351" s="2"/>
      <c r="U351" s="2"/>
      <c r="V351" s="2"/>
      <c r="W351" s="2"/>
      <c r="X351" s="2"/>
    </row>
    <row r="352" ht="15.75" customHeight="1">
      <c r="R352" s="2"/>
      <c r="S352" s="2"/>
      <c r="T352" s="2"/>
      <c r="U352" s="2"/>
      <c r="V352" s="2"/>
      <c r="W352" s="2"/>
      <c r="X352" s="2"/>
    </row>
    <row r="353" ht="15.75" customHeight="1">
      <c r="R353" s="2"/>
      <c r="S353" s="2"/>
      <c r="T353" s="2"/>
      <c r="U353" s="2"/>
      <c r="V353" s="2"/>
      <c r="W353" s="2"/>
      <c r="X353" s="2"/>
    </row>
    <row r="354" ht="15.75" customHeight="1">
      <c r="R354" s="2"/>
      <c r="S354" s="2"/>
      <c r="T354" s="2"/>
      <c r="U354" s="2"/>
      <c r="V354" s="2"/>
      <c r="W354" s="2"/>
      <c r="X354" s="2"/>
    </row>
    <row r="355" ht="15.75" customHeight="1">
      <c r="R355" s="2"/>
      <c r="S355" s="2"/>
      <c r="T355" s="2"/>
      <c r="U355" s="2"/>
      <c r="V355" s="2"/>
      <c r="W355" s="2"/>
      <c r="X355" s="2"/>
    </row>
    <row r="356" ht="15.75" customHeight="1">
      <c r="R356" s="2"/>
      <c r="S356" s="2"/>
      <c r="T356" s="2"/>
      <c r="U356" s="2"/>
      <c r="V356" s="2"/>
      <c r="W356" s="2"/>
      <c r="X356" s="2"/>
    </row>
    <row r="357" ht="15.75" customHeight="1">
      <c r="R357" s="2"/>
      <c r="S357" s="2"/>
      <c r="T357" s="2"/>
      <c r="U357" s="2"/>
      <c r="V357" s="2"/>
      <c r="W357" s="2"/>
      <c r="X357" s="2"/>
    </row>
    <row r="358" ht="15.75" customHeight="1">
      <c r="R358" s="2"/>
      <c r="S358" s="2"/>
      <c r="T358" s="2"/>
      <c r="U358" s="2"/>
      <c r="V358" s="2"/>
      <c r="W358" s="2"/>
      <c r="X358" s="2"/>
    </row>
    <row r="359" ht="15.75" customHeight="1">
      <c r="R359" s="2"/>
      <c r="S359" s="2"/>
      <c r="T359" s="2"/>
      <c r="U359" s="2"/>
      <c r="V359" s="2"/>
      <c r="W359" s="2"/>
      <c r="X359" s="2"/>
    </row>
    <row r="360" ht="15.75" customHeight="1">
      <c r="R360" s="2"/>
      <c r="S360" s="2"/>
      <c r="T360" s="2"/>
      <c r="U360" s="2"/>
      <c r="V360" s="2"/>
      <c r="W360" s="2"/>
      <c r="X360" s="2"/>
    </row>
    <row r="361" ht="15.75" customHeight="1">
      <c r="R361" s="2"/>
      <c r="S361" s="2"/>
      <c r="T361" s="2"/>
      <c r="U361" s="2"/>
      <c r="V361" s="2"/>
      <c r="W361" s="2"/>
      <c r="X361" s="2"/>
    </row>
    <row r="362" ht="15.75" customHeight="1">
      <c r="R362" s="2"/>
      <c r="S362" s="2"/>
      <c r="T362" s="2"/>
      <c r="U362" s="2"/>
      <c r="V362" s="2"/>
      <c r="W362" s="2"/>
      <c r="X362" s="2"/>
    </row>
    <row r="363" ht="15.75" customHeight="1">
      <c r="R363" s="2"/>
      <c r="S363" s="2"/>
      <c r="T363" s="2"/>
      <c r="U363" s="2"/>
      <c r="V363" s="2"/>
      <c r="W363" s="2"/>
      <c r="X363" s="2"/>
    </row>
    <row r="364" ht="15.75" customHeight="1">
      <c r="R364" s="2"/>
      <c r="S364" s="2"/>
      <c r="T364" s="2"/>
      <c r="U364" s="2"/>
      <c r="V364" s="2"/>
      <c r="W364" s="2"/>
      <c r="X364" s="2"/>
    </row>
    <row r="365" ht="15.75" customHeight="1">
      <c r="R365" s="2"/>
      <c r="S365" s="2"/>
      <c r="T365" s="2"/>
      <c r="U365" s="2"/>
      <c r="V365" s="2"/>
      <c r="W365" s="2"/>
      <c r="X365" s="2"/>
    </row>
    <row r="366" ht="15.75" customHeight="1">
      <c r="R366" s="2"/>
      <c r="S366" s="2"/>
      <c r="T366" s="2"/>
      <c r="U366" s="2"/>
      <c r="V366" s="2"/>
      <c r="W366" s="2"/>
      <c r="X366" s="2"/>
    </row>
    <row r="367" ht="15.75" customHeight="1">
      <c r="R367" s="2"/>
      <c r="S367" s="2"/>
      <c r="T367" s="2"/>
      <c r="U367" s="2"/>
      <c r="V367" s="2"/>
      <c r="W367" s="2"/>
      <c r="X367" s="2"/>
    </row>
    <row r="368" ht="15.75" customHeight="1">
      <c r="R368" s="2"/>
      <c r="S368" s="2"/>
      <c r="T368" s="2"/>
      <c r="U368" s="2"/>
      <c r="V368" s="2"/>
      <c r="W368" s="2"/>
      <c r="X368" s="2"/>
    </row>
    <row r="369" ht="15.75" customHeight="1">
      <c r="R369" s="2"/>
      <c r="S369" s="2"/>
      <c r="T369" s="2"/>
      <c r="U369" s="2"/>
      <c r="V369" s="2"/>
      <c r="W369" s="2"/>
      <c r="X369" s="2"/>
    </row>
    <row r="370" ht="15.75" customHeight="1">
      <c r="R370" s="2"/>
      <c r="S370" s="2"/>
      <c r="T370" s="2"/>
      <c r="U370" s="2"/>
      <c r="V370" s="2"/>
      <c r="W370" s="2"/>
      <c r="X370" s="2"/>
    </row>
    <row r="371" ht="15.75" customHeight="1">
      <c r="R371" s="2"/>
      <c r="S371" s="2"/>
      <c r="T371" s="2"/>
      <c r="U371" s="2"/>
      <c r="V371" s="2"/>
      <c r="W371" s="2"/>
      <c r="X371" s="2"/>
    </row>
    <row r="372" ht="15.75" customHeight="1">
      <c r="R372" s="2"/>
      <c r="S372" s="2"/>
      <c r="T372" s="2"/>
      <c r="U372" s="2"/>
      <c r="V372" s="2"/>
      <c r="W372" s="2"/>
      <c r="X372" s="2"/>
    </row>
    <row r="373" ht="15.75" customHeight="1">
      <c r="R373" s="2"/>
      <c r="S373" s="2"/>
      <c r="T373" s="2"/>
      <c r="U373" s="2"/>
      <c r="V373" s="2"/>
      <c r="W373" s="2"/>
      <c r="X373" s="2"/>
    </row>
    <row r="374" ht="15.75" customHeight="1">
      <c r="R374" s="2"/>
      <c r="S374" s="2"/>
      <c r="T374" s="2"/>
      <c r="U374" s="2"/>
      <c r="V374" s="2"/>
      <c r="W374" s="2"/>
      <c r="X374" s="2"/>
    </row>
    <row r="375" ht="15.75" customHeight="1">
      <c r="R375" s="2"/>
      <c r="S375" s="2"/>
      <c r="T375" s="2"/>
      <c r="U375" s="2"/>
      <c r="V375" s="2"/>
      <c r="W375" s="2"/>
      <c r="X375" s="2"/>
    </row>
    <row r="376" ht="15.75" customHeight="1">
      <c r="R376" s="2"/>
      <c r="S376" s="2"/>
      <c r="T376" s="2"/>
      <c r="U376" s="2"/>
      <c r="V376" s="2"/>
      <c r="W376" s="2"/>
      <c r="X376" s="2"/>
    </row>
    <row r="377" ht="15.75" customHeight="1">
      <c r="R377" s="2"/>
      <c r="S377" s="2"/>
      <c r="T377" s="2"/>
      <c r="U377" s="2"/>
      <c r="V377" s="2"/>
      <c r="W377" s="2"/>
      <c r="X377" s="2"/>
    </row>
    <row r="378" ht="15.75" customHeight="1">
      <c r="R378" s="2"/>
      <c r="S378" s="2"/>
      <c r="T378" s="2"/>
      <c r="U378" s="2"/>
      <c r="V378" s="2"/>
      <c r="W378" s="2"/>
      <c r="X378" s="2"/>
    </row>
    <row r="379" ht="15.75" customHeight="1">
      <c r="R379" s="2"/>
      <c r="S379" s="2"/>
      <c r="T379" s="2"/>
      <c r="U379" s="2"/>
      <c r="V379" s="2"/>
      <c r="W379" s="2"/>
      <c r="X379" s="2"/>
    </row>
    <row r="380" ht="15.75" customHeight="1">
      <c r="R380" s="2"/>
      <c r="S380" s="2"/>
      <c r="T380" s="2"/>
      <c r="U380" s="2"/>
      <c r="V380" s="2"/>
      <c r="W380" s="2"/>
      <c r="X380" s="2"/>
    </row>
    <row r="381" ht="15.75" customHeight="1">
      <c r="R381" s="2"/>
      <c r="S381" s="2"/>
      <c r="T381" s="2"/>
      <c r="U381" s="2"/>
      <c r="V381" s="2"/>
      <c r="W381" s="2"/>
      <c r="X381" s="2"/>
    </row>
    <row r="382" ht="15.75" customHeight="1">
      <c r="R382" s="2"/>
      <c r="S382" s="2"/>
      <c r="T382" s="2"/>
      <c r="U382" s="2"/>
      <c r="V382" s="2"/>
      <c r="W382" s="2"/>
      <c r="X382" s="2"/>
    </row>
    <row r="383" ht="15.75" customHeight="1">
      <c r="R383" s="2"/>
      <c r="S383" s="2"/>
      <c r="T383" s="2"/>
      <c r="U383" s="2"/>
      <c r="V383" s="2"/>
      <c r="W383" s="2"/>
      <c r="X383" s="2"/>
    </row>
    <row r="384" ht="15.75" customHeight="1">
      <c r="R384" s="2"/>
      <c r="S384" s="2"/>
      <c r="T384" s="2"/>
      <c r="U384" s="2"/>
      <c r="V384" s="2"/>
      <c r="W384" s="2"/>
      <c r="X384" s="2"/>
    </row>
    <row r="385" ht="15.75" customHeight="1">
      <c r="R385" s="2"/>
      <c r="S385" s="2"/>
      <c r="T385" s="2"/>
      <c r="U385" s="2"/>
      <c r="V385" s="2"/>
      <c r="W385" s="2"/>
      <c r="X385" s="2"/>
    </row>
    <row r="386" ht="15.75" customHeight="1">
      <c r="R386" s="2"/>
      <c r="S386" s="2"/>
      <c r="T386" s="2"/>
      <c r="U386" s="2"/>
      <c r="V386" s="2"/>
      <c r="W386" s="2"/>
      <c r="X386" s="2"/>
    </row>
    <row r="387" ht="15.75" customHeight="1">
      <c r="R387" s="2"/>
      <c r="S387" s="2"/>
      <c r="T387" s="2"/>
      <c r="U387" s="2"/>
      <c r="V387" s="2"/>
      <c r="W387" s="2"/>
      <c r="X387" s="2"/>
    </row>
    <row r="388" ht="15.75" customHeight="1">
      <c r="R388" s="2"/>
      <c r="S388" s="2"/>
      <c r="T388" s="2"/>
      <c r="U388" s="2"/>
      <c r="V388" s="2"/>
      <c r="W388" s="2"/>
      <c r="X388" s="2"/>
    </row>
    <row r="389" ht="15.75" customHeight="1">
      <c r="R389" s="2"/>
      <c r="S389" s="2"/>
      <c r="T389" s="2"/>
      <c r="U389" s="2"/>
      <c r="V389" s="2"/>
      <c r="W389" s="2"/>
      <c r="X389" s="2"/>
    </row>
    <row r="390" ht="15.75" customHeight="1">
      <c r="R390" s="2"/>
      <c r="S390" s="2"/>
      <c r="T390" s="2"/>
      <c r="U390" s="2"/>
      <c r="V390" s="2"/>
      <c r="W390" s="2"/>
      <c r="X390" s="2"/>
    </row>
    <row r="391" ht="15.75" customHeight="1">
      <c r="R391" s="2"/>
      <c r="S391" s="2"/>
      <c r="T391" s="2"/>
      <c r="U391" s="2"/>
      <c r="V391" s="2"/>
      <c r="W391" s="2"/>
      <c r="X391" s="2"/>
    </row>
    <row r="392" ht="15.75" customHeight="1">
      <c r="R392" s="2"/>
      <c r="S392" s="2"/>
      <c r="T392" s="2"/>
      <c r="U392" s="2"/>
      <c r="V392" s="2"/>
      <c r="W392" s="2"/>
      <c r="X392" s="2"/>
    </row>
    <row r="393" ht="15.75" customHeight="1">
      <c r="R393" s="2"/>
      <c r="S393" s="2"/>
      <c r="T393" s="2"/>
      <c r="U393" s="2"/>
      <c r="V393" s="2"/>
      <c r="W393" s="2"/>
      <c r="X393" s="2"/>
    </row>
    <row r="394" ht="15.75" customHeight="1">
      <c r="R394" s="2"/>
      <c r="S394" s="2"/>
      <c r="T394" s="2"/>
      <c r="U394" s="2"/>
      <c r="V394" s="2"/>
      <c r="W394" s="2"/>
      <c r="X394" s="2"/>
    </row>
    <row r="395" ht="15.75" customHeight="1">
      <c r="R395" s="2"/>
      <c r="S395" s="2"/>
      <c r="T395" s="2"/>
      <c r="U395" s="2"/>
      <c r="V395" s="2"/>
      <c r="W395" s="2"/>
      <c r="X395" s="2"/>
    </row>
    <row r="396" ht="15.75" customHeight="1">
      <c r="R396" s="2"/>
      <c r="S396" s="2"/>
      <c r="T396" s="2"/>
      <c r="U396" s="2"/>
      <c r="V396" s="2"/>
      <c r="W396" s="2"/>
      <c r="X396" s="2"/>
    </row>
    <row r="397" ht="15.75" customHeight="1">
      <c r="R397" s="2"/>
      <c r="S397" s="2"/>
      <c r="T397" s="2"/>
      <c r="U397" s="2"/>
      <c r="V397" s="2"/>
      <c r="W397" s="2"/>
      <c r="X397" s="2"/>
    </row>
    <row r="398" ht="15.75" customHeight="1">
      <c r="R398" s="2"/>
      <c r="S398" s="2"/>
      <c r="T398" s="2"/>
      <c r="U398" s="2"/>
      <c r="V398" s="2"/>
      <c r="W398" s="2"/>
      <c r="X398" s="2"/>
    </row>
    <row r="399" ht="15.75" customHeight="1">
      <c r="R399" s="2"/>
      <c r="S399" s="2"/>
      <c r="T399" s="2"/>
      <c r="U399" s="2"/>
      <c r="V399" s="2"/>
      <c r="W399" s="2"/>
      <c r="X399" s="2"/>
    </row>
    <row r="400" ht="15.75" customHeight="1">
      <c r="R400" s="2"/>
      <c r="S400" s="2"/>
      <c r="T400" s="2"/>
      <c r="U400" s="2"/>
      <c r="V400" s="2"/>
      <c r="W400" s="2"/>
      <c r="X400" s="2"/>
    </row>
    <row r="401" ht="15.75" customHeight="1">
      <c r="R401" s="2"/>
      <c r="S401" s="2"/>
      <c r="T401" s="2"/>
      <c r="U401" s="2"/>
      <c r="V401" s="2"/>
      <c r="W401" s="2"/>
      <c r="X401" s="2"/>
    </row>
    <row r="402" ht="15.75" customHeight="1">
      <c r="R402" s="2"/>
      <c r="S402" s="2"/>
      <c r="T402" s="2"/>
      <c r="U402" s="2"/>
      <c r="V402" s="2"/>
      <c r="W402" s="2"/>
      <c r="X402" s="2"/>
    </row>
    <row r="403" ht="15.75" customHeight="1">
      <c r="R403" s="2"/>
      <c r="S403" s="2"/>
      <c r="T403" s="2"/>
      <c r="U403" s="2"/>
      <c r="V403" s="2"/>
      <c r="W403" s="2"/>
      <c r="X403" s="2"/>
    </row>
    <row r="404" ht="15.75" customHeight="1">
      <c r="R404" s="2"/>
      <c r="S404" s="2"/>
      <c r="T404" s="2"/>
      <c r="U404" s="2"/>
      <c r="V404" s="2"/>
      <c r="W404" s="2"/>
      <c r="X404" s="2"/>
    </row>
    <row r="405" ht="15.75" customHeight="1">
      <c r="R405" s="2"/>
      <c r="S405" s="2"/>
      <c r="T405" s="2"/>
      <c r="U405" s="2"/>
      <c r="V405" s="2"/>
      <c r="W405" s="2"/>
      <c r="X405" s="2"/>
    </row>
    <row r="406" ht="15.75" customHeight="1">
      <c r="R406" s="2"/>
      <c r="S406" s="2"/>
      <c r="T406" s="2"/>
      <c r="U406" s="2"/>
      <c r="V406" s="2"/>
      <c r="W406" s="2"/>
      <c r="X406" s="2"/>
    </row>
    <row r="407" ht="15.75" customHeight="1">
      <c r="R407" s="2"/>
      <c r="S407" s="2"/>
      <c r="T407" s="2"/>
      <c r="U407" s="2"/>
      <c r="V407" s="2"/>
      <c r="W407" s="2"/>
      <c r="X407" s="2"/>
    </row>
    <row r="408" ht="15.75" customHeight="1">
      <c r="R408" s="2"/>
      <c r="S408" s="2"/>
      <c r="T408" s="2"/>
      <c r="U408" s="2"/>
      <c r="V408" s="2"/>
      <c r="W408" s="2"/>
      <c r="X408" s="2"/>
    </row>
    <row r="409" ht="15.75" customHeight="1">
      <c r="R409" s="2"/>
      <c r="S409" s="2"/>
      <c r="T409" s="2"/>
      <c r="U409" s="2"/>
      <c r="V409" s="2"/>
      <c r="W409" s="2"/>
      <c r="X409" s="2"/>
    </row>
    <row r="410" ht="15.75" customHeight="1">
      <c r="R410" s="2"/>
      <c r="S410" s="2"/>
      <c r="T410" s="2"/>
      <c r="U410" s="2"/>
      <c r="V410" s="2"/>
      <c r="W410" s="2"/>
      <c r="X410" s="2"/>
    </row>
    <row r="411" ht="15.75" customHeight="1">
      <c r="R411" s="2"/>
      <c r="S411" s="2"/>
      <c r="T411" s="2"/>
      <c r="U411" s="2"/>
      <c r="V411" s="2"/>
      <c r="W411" s="2"/>
      <c r="X411" s="2"/>
    </row>
    <row r="412" ht="15.75" customHeight="1">
      <c r="R412" s="2"/>
      <c r="S412" s="2"/>
      <c r="T412" s="2"/>
      <c r="U412" s="2"/>
      <c r="V412" s="2"/>
      <c r="W412" s="2"/>
      <c r="X412" s="2"/>
    </row>
    <row r="413" ht="15.75" customHeight="1">
      <c r="R413" s="2"/>
      <c r="S413" s="2"/>
      <c r="T413" s="2"/>
      <c r="U413" s="2"/>
      <c r="V413" s="2"/>
      <c r="W413" s="2"/>
      <c r="X413" s="2"/>
    </row>
    <row r="414" ht="15.75" customHeight="1">
      <c r="R414" s="2"/>
      <c r="S414" s="2"/>
      <c r="T414" s="2"/>
      <c r="U414" s="2"/>
      <c r="V414" s="2"/>
      <c r="W414" s="2"/>
      <c r="X414" s="2"/>
    </row>
    <row r="415" ht="15.75" customHeight="1">
      <c r="R415" s="2"/>
      <c r="S415" s="2"/>
      <c r="T415" s="2"/>
      <c r="U415" s="2"/>
      <c r="V415" s="2"/>
      <c r="W415" s="2"/>
      <c r="X415" s="2"/>
    </row>
    <row r="416" ht="15.75" customHeight="1">
      <c r="R416" s="2"/>
      <c r="S416" s="2"/>
      <c r="T416" s="2"/>
      <c r="U416" s="2"/>
      <c r="V416" s="2"/>
      <c r="W416" s="2"/>
      <c r="X416" s="2"/>
    </row>
    <row r="417" ht="15.75" customHeight="1">
      <c r="R417" s="2"/>
      <c r="S417" s="2"/>
      <c r="T417" s="2"/>
      <c r="U417" s="2"/>
      <c r="V417" s="2"/>
      <c r="W417" s="2"/>
      <c r="X417" s="2"/>
    </row>
    <row r="418" ht="15.75" customHeight="1">
      <c r="R418" s="2"/>
      <c r="S418" s="2"/>
      <c r="T418" s="2"/>
      <c r="U418" s="2"/>
      <c r="V418" s="2"/>
      <c r="W418" s="2"/>
      <c r="X418" s="2"/>
    </row>
    <row r="419" ht="15.75" customHeight="1">
      <c r="R419" s="2"/>
      <c r="S419" s="2"/>
      <c r="T419" s="2"/>
      <c r="U419" s="2"/>
      <c r="V419" s="2"/>
      <c r="W419" s="2"/>
      <c r="X419" s="2"/>
    </row>
    <row r="420" ht="15.75" customHeight="1">
      <c r="R420" s="2"/>
      <c r="S420" s="2"/>
      <c r="T420" s="2"/>
      <c r="U420" s="2"/>
      <c r="V420" s="2"/>
      <c r="W420" s="2"/>
      <c r="X420" s="2"/>
    </row>
    <row r="421" ht="15.75" customHeight="1">
      <c r="R421" s="2"/>
      <c r="S421" s="2"/>
      <c r="T421" s="2"/>
      <c r="U421" s="2"/>
      <c r="V421" s="2"/>
      <c r="W421" s="2"/>
      <c r="X421" s="2"/>
    </row>
    <row r="422" ht="15.75" customHeight="1">
      <c r="R422" s="2"/>
      <c r="S422" s="2"/>
      <c r="T422" s="2"/>
      <c r="U422" s="2"/>
      <c r="V422" s="2"/>
      <c r="W422" s="2"/>
      <c r="X422" s="2"/>
    </row>
    <row r="423" ht="15.75" customHeight="1">
      <c r="R423" s="2"/>
      <c r="S423" s="2"/>
      <c r="T423" s="2"/>
      <c r="U423" s="2"/>
      <c r="V423" s="2"/>
      <c r="W423" s="2"/>
      <c r="X423" s="2"/>
    </row>
    <row r="424" ht="15.75" customHeight="1">
      <c r="R424" s="2"/>
      <c r="S424" s="2"/>
      <c r="T424" s="2"/>
      <c r="U424" s="2"/>
      <c r="V424" s="2"/>
      <c r="W424" s="2"/>
      <c r="X424" s="2"/>
    </row>
    <row r="425" ht="15.75" customHeight="1">
      <c r="R425" s="2"/>
      <c r="S425" s="2"/>
      <c r="T425" s="2"/>
      <c r="U425" s="2"/>
      <c r="V425" s="2"/>
      <c r="W425" s="2"/>
      <c r="X425" s="2"/>
    </row>
    <row r="426" ht="15.75" customHeight="1">
      <c r="R426" s="2"/>
      <c r="S426" s="2"/>
      <c r="T426" s="2"/>
      <c r="U426" s="2"/>
      <c r="V426" s="2"/>
      <c r="W426" s="2"/>
      <c r="X426" s="2"/>
    </row>
    <row r="427" ht="15.75" customHeight="1">
      <c r="R427" s="2"/>
      <c r="S427" s="2"/>
      <c r="T427" s="2"/>
      <c r="U427" s="2"/>
      <c r="V427" s="2"/>
      <c r="W427" s="2"/>
      <c r="X427" s="2"/>
    </row>
    <row r="428" ht="15.75" customHeight="1">
      <c r="R428" s="2"/>
      <c r="S428" s="2"/>
      <c r="T428" s="2"/>
      <c r="U428" s="2"/>
      <c r="V428" s="2"/>
      <c r="W428" s="2"/>
      <c r="X428" s="2"/>
    </row>
    <row r="429" ht="15.75" customHeight="1">
      <c r="R429" s="2"/>
      <c r="S429" s="2"/>
      <c r="T429" s="2"/>
      <c r="U429" s="2"/>
      <c r="V429" s="2"/>
      <c r="W429" s="2"/>
      <c r="X429" s="2"/>
    </row>
    <row r="430" ht="15.75" customHeight="1">
      <c r="R430" s="2"/>
      <c r="S430" s="2"/>
      <c r="T430" s="2"/>
      <c r="U430" s="2"/>
      <c r="V430" s="2"/>
      <c r="W430" s="2"/>
      <c r="X430" s="2"/>
    </row>
    <row r="431" ht="15.75" customHeight="1">
      <c r="R431" s="2"/>
      <c r="S431" s="2"/>
      <c r="T431" s="2"/>
      <c r="U431" s="2"/>
      <c r="V431" s="2"/>
      <c r="W431" s="2"/>
      <c r="X431" s="2"/>
    </row>
    <row r="432" ht="15.75" customHeight="1">
      <c r="R432" s="2"/>
      <c r="S432" s="2"/>
      <c r="T432" s="2"/>
      <c r="U432" s="2"/>
      <c r="V432" s="2"/>
      <c r="W432" s="2"/>
      <c r="X432" s="2"/>
    </row>
    <row r="433" ht="15.75" customHeight="1">
      <c r="R433" s="2"/>
      <c r="S433" s="2"/>
      <c r="T433" s="2"/>
      <c r="U433" s="2"/>
      <c r="V433" s="2"/>
      <c r="W433" s="2"/>
      <c r="X433" s="2"/>
    </row>
    <row r="434" ht="15.75" customHeight="1">
      <c r="R434" s="2"/>
      <c r="S434" s="2"/>
      <c r="T434" s="2"/>
      <c r="U434" s="2"/>
      <c r="V434" s="2"/>
      <c r="W434" s="2"/>
      <c r="X434" s="2"/>
    </row>
    <row r="435" ht="15.75" customHeight="1">
      <c r="R435" s="2"/>
      <c r="S435" s="2"/>
      <c r="T435" s="2"/>
      <c r="U435" s="2"/>
      <c r="V435" s="2"/>
      <c r="W435" s="2"/>
      <c r="X435" s="2"/>
    </row>
    <row r="436" ht="15.75" customHeight="1">
      <c r="R436" s="2"/>
      <c r="S436" s="2"/>
      <c r="T436" s="2"/>
      <c r="U436" s="2"/>
      <c r="V436" s="2"/>
      <c r="W436" s="2"/>
      <c r="X436" s="2"/>
    </row>
    <row r="437" ht="15.75" customHeight="1">
      <c r="R437" s="2"/>
      <c r="S437" s="2"/>
      <c r="T437" s="2"/>
      <c r="U437" s="2"/>
      <c r="V437" s="2"/>
      <c r="W437" s="2"/>
      <c r="X437" s="2"/>
    </row>
    <row r="438" ht="15.75" customHeight="1">
      <c r="R438" s="2"/>
      <c r="S438" s="2"/>
      <c r="T438" s="2"/>
      <c r="U438" s="2"/>
      <c r="V438" s="2"/>
      <c r="W438" s="2"/>
      <c r="X438" s="2"/>
    </row>
    <row r="439" ht="15.75" customHeight="1">
      <c r="R439" s="2"/>
      <c r="S439" s="2"/>
      <c r="T439" s="2"/>
      <c r="U439" s="2"/>
      <c r="V439" s="2"/>
      <c r="W439" s="2"/>
      <c r="X439" s="2"/>
    </row>
    <row r="440" ht="15.75" customHeight="1">
      <c r="R440" s="2"/>
      <c r="S440" s="2"/>
      <c r="T440" s="2"/>
      <c r="U440" s="2"/>
      <c r="V440" s="2"/>
      <c r="W440" s="2"/>
      <c r="X440" s="2"/>
    </row>
    <row r="441" ht="15.75" customHeight="1">
      <c r="R441" s="2"/>
      <c r="S441" s="2"/>
      <c r="T441" s="2"/>
      <c r="U441" s="2"/>
      <c r="V441" s="2"/>
      <c r="W441" s="2"/>
      <c r="X441" s="2"/>
    </row>
    <row r="442" ht="15.75" customHeight="1">
      <c r="R442" s="2"/>
      <c r="S442" s="2"/>
      <c r="T442" s="2"/>
      <c r="U442" s="2"/>
      <c r="V442" s="2"/>
      <c r="W442" s="2"/>
      <c r="X442" s="2"/>
    </row>
    <row r="443" ht="15.75" customHeight="1">
      <c r="R443" s="2"/>
      <c r="S443" s="2"/>
      <c r="T443" s="2"/>
      <c r="U443" s="2"/>
      <c r="V443" s="2"/>
      <c r="W443" s="2"/>
      <c r="X443" s="2"/>
    </row>
    <row r="444" ht="15.75" customHeight="1">
      <c r="R444" s="2"/>
      <c r="S444" s="2"/>
      <c r="T444" s="2"/>
      <c r="U444" s="2"/>
      <c r="V444" s="2"/>
      <c r="W444" s="2"/>
      <c r="X444" s="2"/>
    </row>
    <row r="445" ht="15.75" customHeight="1">
      <c r="R445" s="2"/>
      <c r="S445" s="2"/>
      <c r="T445" s="2"/>
      <c r="U445" s="2"/>
      <c r="V445" s="2"/>
      <c r="W445" s="2"/>
      <c r="X445" s="2"/>
    </row>
    <row r="446" ht="15.75" customHeight="1">
      <c r="R446" s="2"/>
      <c r="S446" s="2"/>
      <c r="T446" s="2"/>
      <c r="U446" s="2"/>
      <c r="V446" s="2"/>
      <c r="W446" s="2"/>
      <c r="X446" s="2"/>
    </row>
    <row r="447" ht="15.75" customHeight="1">
      <c r="R447" s="2"/>
      <c r="S447" s="2"/>
      <c r="T447" s="2"/>
      <c r="U447" s="2"/>
      <c r="V447" s="2"/>
      <c r="W447" s="2"/>
      <c r="X447" s="2"/>
    </row>
    <row r="448" ht="15.75" customHeight="1">
      <c r="R448" s="2"/>
      <c r="S448" s="2"/>
      <c r="T448" s="2"/>
      <c r="U448" s="2"/>
      <c r="V448" s="2"/>
      <c r="W448" s="2"/>
      <c r="X448" s="2"/>
    </row>
    <row r="449" ht="15.75" customHeight="1">
      <c r="R449" s="2"/>
      <c r="S449" s="2"/>
      <c r="T449" s="2"/>
      <c r="U449" s="2"/>
      <c r="V449" s="2"/>
      <c r="W449" s="2"/>
      <c r="X449" s="2"/>
    </row>
    <row r="450" ht="15.75" customHeight="1">
      <c r="R450" s="2"/>
      <c r="S450" s="2"/>
      <c r="T450" s="2"/>
      <c r="U450" s="2"/>
      <c r="V450" s="2"/>
      <c r="W450" s="2"/>
      <c r="X450" s="2"/>
    </row>
    <row r="451" ht="15.75" customHeight="1">
      <c r="R451" s="2"/>
      <c r="S451" s="2"/>
      <c r="T451" s="2"/>
      <c r="U451" s="2"/>
      <c r="V451" s="2"/>
      <c r="W451" s="2"/>
      <c r="X451" s="2"/>
    </row>
    <row r="452" ht="15.75" customHeight="1">
      <c r="R452" s="2"/>
      <c r="S452" s="2"/>
      <c r="T452" s="2"/>
      <c r="U452" s="2"/>
      <c r="V452" s="2"/>
      <c r="W452" s="2"/>
      <c r="X452" s="2"/>
    </row>
    <row r="453" ht="15.75" customHeight="1">
      <c r="R453" s="2"/>
      <c r="S453" s="2"/>
      <c r="T453" s="2"/>
      <c r="U453" s="2"/>
      <c r="V453" s="2"/>
      <c r="W453" s="2"/>
      <c r="X453" s="2"/>
    </row>
    <row r="454" ht="15.75" customHeight="1">
      <c r="R454" s="2"/>
      <c r="S454" s="2"/>
      <c r="T454" s="2"/>
      <c r="U454" s="2"/>
      <c r="V454" s="2"/>
      <c r="W454" s="2"/>
      <c r="X454" s="2"/>
    </row>
    <row r="455" ht="15.75" customHeight="1">
      <c r="R455" s="2"/>
      <c r="S455" s="2"/>
      <c r="T455" s="2"/>
      <c r="U455" s="2"/>
      <c r="V455" s="2"/>
      <c r="W455" s="2"/>
      <c r="X455" s="2"/>
    </row>
    <row r="456" ht="15.75" customHeight="1">
      <c r="R456" s="2"/>
      <c r="S456" s="2"/>
      <c r="T456" s="2"/>
      <c r="U456" s="2"/>
      <c r="V456" s="2"/>
      <c r="W456" s="2"/>
      <c r="X456" s="2"/>
    </row>
    <row r="457" ht="15.75" customHeight="1">
      <c r="R457" s="2"/>
      <c r="S457" s="2"/>
      <c r="T457" s="2"/>
      <c r="U457" s="2"/>
      <c r="V457" s="2"/>
      <c r="W457" s="2"/>
      <c r="X457" s="2"/>
    </row>
    <row r="458" ht="15.75" customHeight="1">
      <c r="R458" s="2"/>
      <c r="S458" s="2"/>
      <c r="T458" s="2"/>
      <c r="U458" s="2"/>
      <c r="V458" s="2"/>
      <c r="W458" s="2"/>
      <c r="X458" s="2"/>
    </row>
    <row r="459" ht="15.75" customHeight="1">
      <c r="R459" s="2"/>
      <c r="S459" s="2"/>
      <c r="T459" s="2"/>
      <c r="U459" s="2"/>
      <c r="V459" s="2"/>
      <c r="W459" s="2"/>
      <c r="X459" s="2"/>
    </row>
    <row r="460" ht="15.75" customHeight="1">
      <c r="R460" s="2"/>
      <c r="S460" s="2"/>
      <c r="T460" s="2"/>
      <c r="U460" s="2"/>
      <c r="V460" s="2"/>
      <c r="W460" s="2"/>
      <c r="X460" s="2"/>
    </row>
    <row r="461" ht="15.75" customHeight="1">
      <c r="R461" s="2"/>
      <c r="S461" s="2"/>
      <c r="T461" s="2"/>
      <c r="U461" s="2"/>
      <c r="V461" s="2"/>
      <c r="W461" s="2"/>
      <c r="X461" s="2"/>
    </row>
    <row r="462" ht="15.75" customHeight="1">
      <c r="R462" s="2"/>
      <c r="S462" s="2"/>
      <c r="T462" s="2"/>
      <c r="U462" s="2"/>
      <c r="V462" s="2"/>
      <c r="W462" s="2"/>
      <c r="X462" s="2"/>
    </row>
    <row r="463" ht="15.75" customHeight="1">
      <c r="R463" s="2"/>
      <c r="S463" s="2"/>
      <c r="T463" s="2"/>
      <c r="U463" s="2"/>
      <c r="V463" s="2"/>
      <c r="W463" s="2"/>
      <c r="X463" s="2"/>
    </row>
    <row r="464" ht="15.75" customHeight="1">
      <c r="R464" s="2"/>
      <c r="S464" s="2"/>
      <c r="T464" s="2"/>
      <c r="U464" s="2"/>
      <c r="V464" s="2"/>
      <c r="W464" s="2"/>
      <c r="X464" s="2"/>
    </row>
    <row r="465" ht="15.75" customHeight="1">
      <c r="R465" s="2"/>
      <c r="S465" s="2"/>
      <c r="T465" s="2"/>
      <c r="U465" s="2"/>
      <c r="V465" s="2"/>
      <c r="W465" s="2"/>
      <c r="X465" s="2"/>
    </row>
    <row r="466" ht="15.75" customHeight="1">
      <c r="R466" s="2"/>
      <c r="S466" s="2"/>
      <c r="T466" s="2"/>
      <c r="U466" s="2"/>
      <c r="V466" s="2"/>
      <c r="W466" s="2"/>
      <c r="X466" s="2"/>
    </row>
    <row r="467" ht="15.75" customHeight="1">
      <c r="R467" s="2"/>
      <c r="S467" s="2"/>
      <c r="T467" s="2"/>
      <c r="U467" s="2"/>
      <c r="V467" s="2"/>
      <c r="W467" s="2"/>
      <c r="X467" s="2"/>
    </row>
    <row r="468" ht="15.75" customHeight="1">
      <c r="R468" s="2"/>
      <c r="S468" s="2"/>
      <c r="T468" s="2"/>
      <c r="U468" s="2"/>
      <c r="V468" s="2"/>
      <c r="W468" s="2"/>
      <c r="X468" s="2"/>
    </row>
    <row r="469" ht="15.75" customHeight="1">
      <c r="R469" s="2"/>
      <c r="S469" s="2"/>
      <c r="T469" s="2"/>
      <c r="U469" s="2"/>
      <c r="V469" s="2"/>
      <c r="W469" s="2"/>
      <c r="X469" s="2"/>
    </row>
    <row r="470" ht="15.75" customHeight="1">
      <c r="R470" s="2"/>
      <c r="S470" s="2"/>
      <c r="T470" s="2"/>
      <c r="U470" s="2"/>
      <c r="V470" s="2"/>
      <c r="W470" s="2"/>
      <c r="X470" s="2"/>
    </row>
    <row r="471" ht="15.75" customHeight="1">
      <c r="R471" s="2"/>
      <c r="S471" s="2"/>
      <c r="T471" s="2"/>
      <c r="U471" s="2"/>
      <c r="V471" s="2"/>
      <c r="W471" s="2"/>
      <c r="X471" s="2"/>
    </row>
    <row r="472" ht="15.75" customHeight="1">
      <c r="R472" s="2"/>
      <c r="S472" s="2"/>
      <c r="T472" s="2"/>
      <c r="U472" s="2"/>
      <c r="V472" s="2"/>
      <c r="W472" s="2"/>
      <c r="X472" s="2"/>
    </row>
    <row r="473" ht="15.75" customHeight="1">
      <c r="R473" s="2"/>
      <c r="S473" s="2"/>
      <c r="T473" s="2"/>
      <c r="U473" s="2"/>
      <c r="V473" s="2"/>
      <c r="W473" s="2"/>
      <c r="X473" s="2"/>
    </row>
    <row r="474" ht="15.75" customHeight="1">
      <c r="R474" s="2"/>
      <c r="S474" s="2"/>
      <c r="T474" s="2"/>
      <c r="U474" s="2"/>
      <c r="V474" s="2"/>
      <c r="W474" s="2"/>
      <c r="X474" s="2"/>
    </row>
    <row r="475" ht="15.75" customHeight="1">
      <c r="R475" s="2"/>
      <c r="S475" s="2"/>
      <c r="T475" s="2"/>
      <c r="U475" s="2"/>
      <c r="V475" s="2"/>
      <c r="W475" s="2"/>
      <c r="X475" s="2"/>
    </row>
    <row r="476" ht="15.75" customHeight="1">
      <c r="R476" s="2"/>
      <c r="S476" s="2"/>
      <c r="T476" s="2"/>
      <c r="U476" s="2"/>
      <c r="V476" s="2"/>
      <c r="W476" s="2"/>
      <c r="X476" s="2"/>
    </row>
    <row r="477" ht="15.75" customHeight="1">
      <c r="R477" s="2"/>
      <c r="S477" s="2"/>
      <c r="T477" s="2"/>
      <c r="U477" s="2"/>
      <c r="V477" s="2"/>
      <c r="W477" s="2"/>
      <c r="X477" s="2"/>
    </row>
    <row r="478" ht="15.75" customHeight="1">
      <c r="R478" s="2"/>
      <c r="S478" s="2"/>
      <c r="T478" s="2"/>
      <c r="U478" s="2"/>
      <c r="V478" s="2"/>
      <c r="W478" s="2"/>
      <c r="X478" s="2"/>
    </row>
    <row r="479" ht="15.75" customHeight="1">
      <c r="R479" s="2"/>
      <c r="S479" s="2"/>
      <c r="T479" s="2"/>
      <c r="U479" s="2"/>
      <c r="V479" s="2"/>
      <c r="W479" s="2"/>
      <c r="X479" s="2"/>
    </row>
    <row r="480" ht="15.75" customHeight="1">
      <c r="R480" s="2"/>
      <c r="S480" s="2"/>
      <c r="T480" s="2"/>
      <c r="U480" s="2"/>
      <c r="V480" s="2"/>
      <c r="W480" s="2"/>
      <c r="X480" s="2"/>
    </row>
    <row r="481" ht="15.75" customHeight="1">
      <c r="R481" s="2"/>
      <c r="S481" s="2"/>
      <c r="T481" s="2"/>
      <c r="U481" s="2"/>
      <c r="V481" s="2"/>
      <c r="W481" s="2"/>
      <c r="X481" s="2"/>
    </row>
    <row r="482" ht="15.75" customHeight="1">
      <c r="R482" s="2"/>
      <c r="S482" s="2"/>
      <c r="T482" s="2"/>
      <c r="U482" s="2"/>
      <c r="V482" s="2"/>
      <c r="W482" s="2"/>
      <c r="X482" s="2"/>
    </row>
    <row r="483" ht="15.75" customHeight="1">
      <c r="R483" s="2"/>
      <c r="S483" s="2"/>
      <c r="T483" s="2"/>
      <c r="U483" s="2"/>
      <c r="V483" s="2"/>
      <c r="W483" s="2"/>
      <c r="X483" s="2"/>
    </row>
    <row r="484" ht="15.75" customHeight="1">
      <c r="R484" s="2"/>
      <c r="S484" s="2"/>
      <c r="T484" s="2"/>
      <c r="U484" s="2"/>
      <c r="V484" s="2"/>
      <c r="W484" s="2"/>
      <c r="X484" s="2"/>
    </row>
    <row r="485" ht="15.75" customHeight="1">
      <c r="R485" s="2"/>
      <c r="S485" s="2"/>
      <c r="T485" s="2"/>
      <c r="U485" s="2"/>
      <c r="V485" s="2"/>
      <c r="W485" s="2"/>
      <c r="X485" s="2"/>
    </row>
    <row r="486" ht="15.75" customHeight="1">
      <c r="R486" s="2"/>
      <c r="S486" s="2"/>
      <c r="T486" s="2"/>
      <c r="U486" s="2"/>
      <c r="V486" s="2"/>
      <c r="W486" s="2"/>
      <c r="X486" s="2"/>
    </row>
    <row r="487" ht="15.75" customHeight="1">
      <c r="R487" s="2"/>
      <c r="S487" s="2"/>
      <c r="T487" s="2"/>
      <c r="U487" s="2"/>
      <c r="V487" s="2"/>
      <c r="W487" s="2"/>
      <c r="X487" s="2"/>
    </row>
    <row r="488" ht="15.75" customHeight="1">
      <c r="R488" s="2"/>
      <c r="S488" s="2"/>
      <c r="T488" s="2"/>
      <c r="U488" s="2"/>
      <c r="V488" s="2"/>
      <c r="W488" s="2"/>
      <c r="X488" s="2"/>
    </row>
    <row r="489" ht="15.75" customHeight="1">
      <c r="R489" s="2"/>
      <c r="S489" s="2"/>
      <c r="T489" s="2"/>
      <c r="U489" s="2"/>
      <c r="V489" s="2"/>
      <c r="W489" s="2"/>
      <c r="X489" s="2"/>
    </row>
    <row r="490" ht="15.75" customHeight="1">
      <c r="R490" s="2"/>
      <c r="S490" s="2"/>
      <c r="T490" s="2"/>
      <c r="U490" s="2"/>
      <c r="V490" s="2"/>
      <c r="W490" s="2"/>
      <c r="X490" s="2"/>
    </row>
    <row r="491" ht="15.75" customHeight="1">
      <c r="R491" s="2"/>
      <c r="S491" s="2"/>
      <c r="T491" s="2"/>
      <c r="U491" s="2"/>
      <c r="V491" s="2"/>
      <c r="W491" s="2"/>
      <c r="X491" s="2"/>
    </row>
    <row r="492" ht="15.75" customHeight="1">
      <c r="R492" s="2"/>
      <c r="S492" s="2"/>
      <c r="T492" s="2"/>
      <c r="U492" s="2"/>
      <c r="V492" s="2"/>
      <c r="W492" s="2"/>
      <c r="X492" s="2"/>
    </row>
    <row r="493" ht="15.75" customHeight="1">
      <c r="R493" s="2"/>
      <c r="S493" s="2"/>
      <c r="T493" s="2"/>
      <c r="U493" s="2"/>
      <c r="V493" s="2"/>
      <c r="W493" s="2"/>
      <c r="X493" s="2"/>
    </row>
    <row r="494" ht="15.75" customHeight="1">
      <c r="R494" s="2"/>
      <c r="S494" s="2"/>
      <c r="T494" s="2"/>
      <c r="U494" s="2"/>
      <c r="V494" s="2"/>
      <c r="W494" s="2"/>
      <c r="X494" s="2"/>
    </row>
    <row r="495" ht="15.75" customHeight="1">
      <c r="R495" s="2"/>
      <c r="S495" s="2"/>
      <c r="T495" s="2"/>
      <c r="U495" s="2"/>
      <c r="V495" s="2"/>
      <c r="W495" s="2"/>
      <c r="X495" s="2"/>
    </row>
    <row r="496" ht="15.75" customHeight="1">
      <c r="R496" s="2"/>
      <c r="S496" s="2"/>
      <c r="T496" s="2"/>
      <c r="U496" s="2"/>
      <c r="V496" s="2"/>
      <c r="W496" s="2"/>
      <c r="X496" s="2"/>
    </row>
    <row r="497" ht="15.75" customHeight="1">
      <c r="R497" s="2"/>
      <c r="S497" s="2"/>
      <c r="T497" s="2"/>
      <c r="U497" s="2"/>
      <c r="V497" s="2"/>
      <c r="W497" s="2"/>
      <c r="X497" s="2"/>
    </row>
    <row r="498" ht="15.75" customHeight="1">
      <c r="R498" s="2"/>
      <c r="S498" s="2"/>
      <c r="T498" s="2"/>
      <c r="U498" s="2"/>
      <c r="V498" s="2"/>
      <c r="W498" s="2"/>
      <c r="X498" s="2"/>
    </row>
    <row r="499" ht="15.75" customHeight="1">
      <c r="R499" s="2"/>
      <c r="S499" s="2"/>
      <c r="T499" s="2"/>
      <c r="U499" s="2"/>
      <c r="V499" s="2"/>
      <c r="W499" s="2"/>
      <c r="X499" s="2"/>
    </row>
    <row r="500" ht="15.75" customHeight="1">
      <c r="R500" s="2"/>
      <c r="S500" s="2"/>
      <c r="T500" s="2"/>
      <c r="U500" s="2"/>
      <c r="V500" s="2"/>
      <c r="W500" s="2"/>
      <c r="X500" s="2"/>
    </row>
    <row r="501" ht="15.75" customHeight="1">
      <c r="R501" s="2"/>
      <c r="S501" s="2"/>
      <c r="T501" s="2"/>
      <c r="U501" s="2"/>
      <c r="V501" s="2"/>
      <c r="W501" s="2"/>
      <c r="X501" s="2"/>
    </row>
    <row r="502" ht="15.75" customHeight="1">
      <c r="R502" s="2"/>
      <c r="S502" s="2"/>
      <c r="T502" s="2"/>
      <c r="U502" s="2"/>
      <c r="V502" s="2"/>
      <c r="W502" s="2"/>
      <c r="X502" s="2"/>
    </row>
    <row r="503" ht="15.75" customHeight="1">
      <c r="R503" s="2"/>
      <c r="S503" s="2"/>
      <c r="T503" s="2"/>
      <c r="U503" s="2"/>
      <c r="V503" s="2"/>
      <c r="W503" s="2"/>
      <c r="X503" s="2"/>
    </row>
    <row r="504" ht="15.75" customHeight="1">
      <c r="R504" s="2"/>
      <c r="S504" s="2"/>
      <c r="T504" s="2"/>
      <c r="U504" s="2"/>
      <c r="V504" s="2"/>
      <c r="W504" s="2"/>
      <c r="X504" s="2"/>
    </row>
    <row r="505" ht="15.75" customHeight="1">
      <c r="R505" s="2"/>
      <c r="S505" s="2"/>
      <c r="T505" s="2"/>
      <c r="U505" s="2"/>
      <c r="V505" s="2"/>
      <c r="W505" s="2"/>
      <c r="X505" s="2"/>
    </row>
    <row r="506" ht="15.75" customHeight="1">
      <c r="R506" s="2"/>
      <c r="S506" s="2"/>
      <c r="T506" s="2"/>
      <c r="U506" s="2"/>
      <c r="V506" s="2"/>
      <c r="W506" s="2"/>
      <c r="X506" s="2"/>
    </row>
    <row r="507" ht="15.75" customHeight="1">
      <c r="R507" s="2"/>
      <c r="S507" s="2"/>
      <c r="T507" s="2"/>
      <c r="U507" s="2"/>
      <c r="V507" s="2"/>
      <c r="W507" s="2"/>
      <c r="X507" s="2"/>
    </row>
    <row r="508" ht="15.75" customHeight="1">
      <c r="R508" s="2"/>
      <c r="S508" s="2"/>
      <c r="T508" s="2"/>
      <c r="U508" s="2"/>
      <c r="V508" s="2"/>
      <c r="W508" s="2"/>
      <c r="X508" s="2"/>
    </row>
    <row r="509" ht="15.75" customHeight="1">
      <c r="R509" s="2"/>
      <c r="S509" s="2"/>
      <c r="T509" s="2"/>
      <c r="U509" s="2"/>
      <c r="V509" s="2"/>
      <c r="W509" s="2"/>
      <c r="X509" s="2"/>
    </row>
    <row r="510" ht="15.75" customHeight="1">
      <c r="R510" s="2"/>
      <c r="S510" s="2"/>
      <c r="T510" s="2"/>
      <c r="U510" s="2"/>
      <c r="V510" s="2"/>
      <c r="W510" s="2"/>
      <c r="X510" s="2"/>
    </row>
    <row r="511" ht="15.75" customHeight="1">
      <c r="R511" s="2"/>
      <c r="S511" s="2"/>
      <c r="T511" s="2"/>
      <c r="U511" s="2"/>
      <c r="V511" s="2"/>
      <c r="W511" s="2"/>
      <c r="X511" s="2"/>
    </row>
    <row r="512" ht="15.75" customHeight="1">
      <c r="R512" s="2"/>
      <c r="S512" s="2"/>
      <c r="T512" s="2"/>
      <c r="U512" s="2"/>
      <c r="V512" s="2"/>
      <c r="W512" s="2"/>
      <c r="X512" s="2"/>
    </row>
    <row r="513" ht="15.75" customHeight="1">
      <c r="R513" s="2"/>
      <c r="S513" s="2"/>
      <c r="T513" s="2"/>
      <c r="U513" s="2"/>
      <c r="V513" s="2"/>
      <c r="W513" s="2"/>
      <c r="X513" s="2"/>
    </row>
    <row r="514" ht="15.75" customHeight="1">
      <c r="R514" s="2"/>
      <c r="S514" s="2"/>
      <c r="T514" s="2"/>
      <c r="U514" s="2"/>
      <c r="V514" s="2"/>
      <c r="W514" s="2"/>
      <c r="X514" s="2"/>
    </row>
    <row r="515" ht="15.75" customHeight="1">
      <c r="R515" s="2"/>
      <c r="S515" s="2"/>
      <c r="T515" s="2"/>
      <c r="U515" s="2"/>
      <c r="V515" s="2"/>
      <c r="W515" s="2"/>
      <c r="X515" s="2"/>
    </row>
    <row r="516" ht="15.75" customHeight="1">
      <c r="R516" s="2"/>
      <c r="S516" s="2"/>
      <c r="T516" s="2"/>
      <c r="U516" s="2"/>
      <c r="V516" s="2"/>
      <c r="W516" s="2"/>
      <c r="X516" s="2"/>
    </row>
    <row r="517" ht="15.75" customHeight="1">
      <c r="R517" s="2"/>
      <c r="S517" s="2"/>
      <c r="T517" s="2"/>
      <c r="U517" s="2"/>
      <c r="V517" s="2"/>
      <c r="W517" s="2"/>
      <c r="X517" s="2"/>
    </row>
    <row r="518" ht="15.75" customHeight="1">
      <c r="R518" s="2"/>
      <c r="S518" s="2"/>
      <c r="T518" s="2"/>
      <c r="U518" s="2"/>
      <c r="V518" s="2"/>
      <c r="W518" s="2"/>
      <c r="X518" s="2"/>
    </row>
    <row r="519" ht="15.75" customHeight="1">
      <c r="R519" s="2"/>
      <c r="S519" s="2"/>
      <c r="T519" s="2"/>
      <c r="U519" s="2"/>
      <c r="V519" s="2"/>
      <c r="W519" s="2"/>
      <c r="X519" s="2"/>
    </row>
    <row r="520" ht="15.75" customHeight="1">
      <c r="R520" s="2"/>
      <c r="S520" s="2"/>
      <c r="T520" s="2"/>
      <c r="U520" s="2"/>
      <c r="V520" s="2"/>
      <c r="W520" s="2"/>
      <c r="X520" s="2"/>
    </row>
    <row r="521" ht="15.75" customHeight="1">
      <c r="R521" s="2"/>
      <c r="S521" s="2"/>
      <c r="T521" s="2"/>
      <c r="U521" s="2"/>
      <c r="V521" s="2"/>
      <c r="W521" s="2"/>
      <c r="X521" s="2"/>
    </row>
    <row r="522" ht="15.75" customHeight="1">
      <c r="R522" s="2"/>
      <c r="S522" s="2"/>
      <c r="T522" s="2"/>
      <c r="U522" s="2"/>
      <c r="V522" s="2"/>
      <c r="W522" s="2"/>
      <c r="X522" s="2"/>
    </row>
    <row r="523" ht="15.75" customHeight="1">
      <c r="R523" s="2"/>
      <c r="S523" s="2"/>
      <c r="T523" s="2"/>
      <c r="U523" s="2"/>
      <c r="V523" s="2"/>
      <c r="W523" s="2"/>
      <c r="X523" s="2"/>
    </row>
    <row r="524" ht="15.75" customHeight="1">
      <c r="R524" s="2"/>
      <c r="S524" s="2"/>
      <c r="T524" s="2"/>
      <c r="U524" s="2"/>
      <c r="V524" s="2"/>
      <c r="W524" s="2"/>
      <c r="X524" s="2"/>
    </row>
    <row r="525" ht="15.75" customHeight="1">
      <c r="R525" s="2"/>
      <c r="S525" s="2"/>
      <c r="T525" s="2"/>
      <c r="U525" s="2"/>
      <c r="V525" s="2"/>
      <c r="W525" s="2"/>
      <c r="X525" s="2"/>
    </row>
    <row r="526" ht="15.75" customHeight="1">
      <c r="R526" s="2"/>
      <c r="S526" s="2"/>
      <c r="T526" s="2"/>
      <c r="U526" s="2"/>
      <c r="V526" s="2"/>
      <c r="W526" s="2"/>
      <c r="X526" s="2"/>
    </row>
    <row r="527" ht="15.75" customHeight="1">
      <c r="R527" s="2"/>
      <c r="S527" s="2"/>
      <c r="T527" s="2"/>
      <c r="U527" s="2"/>
      <c r="V527" s="2"/>
      <c r="W527" s="2"/>
      <c r="X527" s="2"/>
    </row>
    <row r="528" ht="15.75" customHeight="1">
      <c r="R528" s="2"/>
      <c r="S528" s="2"/>
      <c r="T528" s="2"/>
      <c r="U528" s="2"/>
      <c r="V528" s="2"/>
      <c r="W528" s="2"/>
      <c r="X528" s="2"/>
    </row>
    <row r="529" ht="15.75" customHeight="1">
      <c r="R529" s="2"/>
      <c r="S529" s="2"/>
      <c r="T529" s="2"/>
      <c r="U529" s="2"/>
      <c r="V529" s="2"/>
      <c r="W529" s="2"/>
      <c r="X529" s="2"/>
    </row>
    <row r="530" ht="15.75" customHeight="1">
      <c r="R530" s="2"/>
      <c r="S530" s="2"/>
      <c r="T530" s="2"/>
      <c r="U530" s="2"/>
      <c r="V530" s="2"/>
      <c r="W530" s="2"/>
      <c r="X530" s="2"/>
    </row>
    <row r="531" ht="15.75" customHeight="1">
      <c r="R531" s="2"/>
      <c r="S531" s="2"/>
      <c r="T531" s="2"/>
      <c r="U531" s="2"/>
      <c r="V531" s="2"/>
      <c r="W531" s="2"/>
      <c r="X531" s="2"/>
    </row>
    <row r="532" ht="15.75" customHeight="1">
      <c r="R532" s="2"/>
      <c r="S532" s="2"/>
      <c r="T532" s="2"/>
      <c r="U532" s="2"/>
      <c r="V532" s="2"/>
      <c r="W532" s="2"/>
      <c r="X532" s="2"/>
    </row>
    <row r="533" ht="15.75" customHeight="1">
      <c r="R533" s="2"/>
      <c r="S533" s="2"/>
      <c r="T533" s="2"/>
      <c r="U533" s="2"/>
      <c r="V533" s="2"/>
      <c r="W533" s="2"/>
      <c r="X533" s="2"/>
    </row>
    <row r="534" ht="15.75" customHeight="1">
      <c r="R534" s="2"/>
      <c r="S534" s="2"/>
      <c r="T534" s="2"/>
      <c r="U534" s="2"/>
      <c r="V534" s="2"/>
      <c r="W534" s="2"/>
      <c r="X534" s="2"/>
    </row>
    <row r="535" ht="15.75" customHeight="1">
      <c r="R535" s="2"/>
      <c r="S535" s="2"/>
      <c r="T535" s="2"/>
      <c r="U535" s="2"/>
      <c r="V535" s="2"/>
      <c r="W535" s="2"/>
      <c r="X535" s="2"/>
    </row>
    <row r="536" ht="15.75" customHeight="1">
      <c r="R536" s="2"/>
      <c r="S536" s="2"/>
      <c r="T536" s="2"/>
      <c r="U536" s="2"/>
      <c r="V536" s="2"/>
      <c r="W536" s="2"/>
      <c r="X536" s="2"/>
    </row>
    <row r="537" ht="15.75" customHeight="1">
      <c r="R537" s="2"/>
      <c r="S537" s="2"/>
      <c r="T537" s="2"/>
      <c r="U537" s="2"/>
      <c r="V537" s="2"/>
      <c r="W537" s="2"/>
      <c r="X537" s="2"/>
    </row>
    <row r="538" ht="15.75" customHeight="1">
      <c r="R538" s="2"/>
      <c r="S538" s="2"/>
      <c r="T538" s="2"/>
      <c r="U538" s="2"/>
      <c r="V538" s="2"/>
      <c r="W538" s="2"/>
      <c r="X538" s="2"/>
    </row>
    <row r="539" ht="15.75" customHeight="1">
      <c r="R539" s="2"/>
      <c r="S539" s="2"/>
      <c r="T539" s="2"/>
      <c r="U539" s="2"/>
      <c r="V539" s="2"/>
      <c r="W539" s="2"/>
      <c r="X539" s="2"/>
    </row>
    <row r="540" ht="15.75" customHeight="1">
      <c r="R540" s="2"/>
      <c r="S540" s="2"/>
      <c r="T540" s="2"/>
      <c r="U540" s="2"/>
      <c r="V540" s="2"/>
      <c r="W540" s="2"/>
      <c r="X540" s="2"/>
    </row>
    <row r="541" ht="15.75" customHeight="1">
      <c r="R541" s="2"/>
      <c r="S541" s="2"/>
      <c r="T541" s="2"/>
      <c r="U541" s="2"/>
      <c r="V541" s="2"/>
      <c r="W541" s="2"/>
      <c r="X541" s="2"/>
    </row>
    <row r="542" ht="15.75" customHeight="1">
      <c r="R542" s="2"/>
      <c r="S542" s="2"/>
      <c r="T542" s="2"/>
      <c r="U542" s="2"/>
      <c r="V542" s="2"/>
      <c r="W542" s="2"/>
      <c r="X542" s="2"/>
    </row>
    <row r="543" ht="15.75" customHeight="1">
      <c r="R543" s="2"/>
      <c r="S543" s="2"/>
      <c r="T543" s="2"/>
      <c r="U543" s="2"/>
      <c r="V543" s="2"/>
      <c r="W543" s="2"/>
      <c r="X543" s="2"/>
    </row>
    <row r="544" ht="15.75" customHeight="1">
      <c r="R544" s="2"/>
      <c r="S544" s="2"/>
      <c r="T544" s="2"/>
      <c r="U544" s="2"/>
      <c r="V544" s="2"/>
      <c r="W544" s="2"/>
      <c r="X544" s="2"/>
    </row>
    <row r="545" ht="15.75" customHeight="1">
      <c r="R545" s="2"/>
      <c r="S545" s="2"/>
      <c r="T545" s="2"/>
      <c r="U545" s="2"/>
      <c r="V545" s="2"/>
      <c r="W545" s="2"/>
      <c r="X545" s="2"/>
    </row>
    <row r="546" ht="15.75" customHeight="1">
      <c r="R546" s="2"/>
      <c r="S546" s="2"/>
      <c r="T546" s="2"/>
      <c r="U546" s="2"/>
      <c r="V546" s="2"/>
      <c r="W546" s="2"/>
      <c r="X546" s="2"/>
    </row>
    <row r="547" ht="15.75" customHeight="1">
      <c r="R547" s="2"/>
      <c r="S547" s="2"/>
      <c r="T547" s="2"/>
      <c r="U547" s="2"/>
      <c r="V547" s="2"/>
      <c r="W547" s="2"/>
      <c r="X547" s="2"/>
    </row>
    <row r="548" ht="15.75" customHeight="1">
      <c r="R548" s="2"/>
      <c r="S548" s="2"/>
      <c r="T548" s="2"/>
      <c r="U548" s="2"/>
      <c r="V548" s="2"/>
      <c r="W548" s="2"/>
      <c r="X548" s="2"/>
    </row>
    <row r="549" ht="15.75" customHeight="1">
      <c r="R549" s="2"/>
      <c r="S549" s="2"/>
      <c r="T549" s="2"/>
      <c r="U549" s="2"/>
      <c r="V549" s="2"/>
      <c r="W549" s="2"/>
      <c r="X549" s="2"/>
    </row>
    <row r="550" ht="15.75" customHeight="1">
      <c r="R550" s="2"/>
      <c r="S550" s="2"/>
      <c r="T550" s="2"/>
      <c r="U550" s="2"/>
      <c r="V550" s="2"/>
      <c r="W550" s="2"/>
      <c r="X550" s="2"/>
    </row>
    <row r="551" ht="15.75" customHeight="1">
      <c r="R551" s="2"/>
      <c r="S551" s="2"/>
      <c r="T551" s="2"/>
      <c r="U551" s="2"/>
      <c r="V551" s="2"/>
      <c r="W551" s="2"/>
      <c r="X551" s="2"/>
    </row>
    <row r="552" ht="15.75" customHeight="1">
      <c r="R552" s="2"/>
      <c r="S552" s="2"/>
      <c r="T552" s="2"/>
      <c r="U552" s="2"/>
      <c r="V552" s="2"/>
      <c r="W552" s="2"/>
      <c r="X552" s="2"/>
    </row>
    <row r="553" ht="15.75" customHeight="1">
      <c r="R553" s="2"/>
      <c r="S553" s="2"/>
      <c r="T553" s="2"/>
      <c r="U553" s="2"/>
      <c r="V553" s="2"/>
      <c r="W553" s="2"/>
      <c r="X553" s="2"/>
    </row>
    <row r="554" ht="15.75" customHeight="1">
      <c r="R554" s="2"/>
      <c r="S554" s="2"/>
      <c r="T554" s="2"/>
      <c r="U554" s="2"/>
      <c r="V554" s="2"/>
      <c r="W554" s="2"/>
      <c r="X554" s="2"/>
    </row>
    <row r="555" ht="15.75" customHeight="1">
      <c r="R555" s="2"/>
      <c r="S555" s="2"/>
      <c r="T555" s="2"/>
      <c r="U555" s="2"/>
      <c r="V555" s="2"/>
      <c r="W555" s="2"/>
      <c r="X555" s="2"/>
    </row>
    <row r="556" ht="15.75" customHeight="1">
      <c r="R556" s="2"/>
      <c r="S556" s="2"/>
      <c r="T556" s="2"/>
      <c r="U556" s="2"/>
      <c r="V556" s="2"/>
      <c r="W556" s="2"/>
      <c r="X556" s="2"/>
    </row>
    <row r="557" ht="15.75" customHeight="1">
      <c r="R557" s="2"/>
      <c r="S557" s="2"/>
      <c r="T557" s="2"/>
      <c r="U557" s="2"/>
      <c r="V557" s="2"/>
      <c r="W557" s="2"/>
      <c r="X557" s="2"/>
    </row>
    <row r="558" ht="15.75" customHeight="1">
      <c r="R558" s="2"/>
      <c r="S558" s="2"/>
      <c r="T558" s="2"/>
      <c r="U558" s="2"/>
      <c r="V558" s="2"/>
      <c r="W558" s="2"/>
      <c r="X558" s="2"/>
    </row>
    <row r="559" ht="15.75" customHeight="1">
      <c r="R559" s="2"/>
      <c r="S559" s="2"/>
      <c r="T559" s="2"/>
      <c r="U559" s="2"/>
      <c r="V559" s="2"/>
      <c r="W559" s="2"/>
      <c r="X559" s="2"/>
    </row>
    <row r="560" ht="15.75" customHeight="1">
      <c r="R560" s="2"/>
      <c r="S560" s="2"/>
      <c r="T560" s="2"/>
      <c r="U560" s="2"/>
      <c r="V560" s="2"/>
      <c r="W560" s="2"/>
      <c r="X560" s="2"/>
    </row>
    <row r="561" ht="15.75" customHeight="1">
      <c r="R561" s="2"/>
      <c r="S561" s="2"/>
      <c r="T561" s="2"/>
      <c r="U561" s="2"/>
      <c r="V561" s="2"/>
      <c r="W561" s="2"/>
      <c r="X561" s="2"/>
    </row>
    <row r="562" ht="15.75" customHeight="1">
      <c r="R562" s="2"/>
      <c r="S562" s="2"/>
      <c r="T562" s="2"/>
      <c r="U562" s="2"/>
      <c r="V562" s="2"/>
      <c r="W562" s="2"/>
      <c r="X562" s="2"/>
    </row>
    <row r="563" ht="15.75" customHeight="1">
      <c r="R563" s="2"/>
      <c r="S563" s="2"/>
      <c r="T563" s="2"/>
      <c r="U563" s="2"/>
      <c r="V563" s="2"/>
      <c r="W563" s="2"/>
      <c r="X563" s="2"/>
    </row>
    <row r="564" ht="15.75" customHeight="1">
      <c r="R564" s="2"/>
      <c r="S564" s="2"/>
      <c r="T564" s="2"/>
      <c r="U564" s="2"/>
      <c r="V564" s="2"/>
      <c r="W564" s="2"/>
      <c r="X564" s="2"/>
    </row>
    <row r="565" ht="15.75" customHeight="1">
      <c r="R565" s="2"/>
      <c r="S565" s="2"/>
      <c r="T565" s="2"/>
      <c r="U565" s="2"/>
      <c r="V565" s="2"/>
      <c r="W565" s="2"/>
      <c r="X565" s="2"/>
    </row>
    <row r="566" ht="15.75" customHeight="1">
      <c r="R566" s="2"/>
      <c r="S566" s="2"/>
      <c r="T566" s="2"/>
      <c r="U566" s="2"/>
      <c r="V566" s="2"/>
      <c r="W566" s="2"/>
      <c r="X566" s="2"/>
    </row>
    <row r="567" ht="15.75" customHeight="1">
      <c r="R567" s="2"/>
      <c r="S567" s="2"/>
      <c r="T567" s="2"/>
      <c r="U567" s="2"/>
      <c r="V567" s="2"/>
      <c r="W567" s="2"/>
      <c r="X567" s="2"/>
    </row>
    <row r="568" ht="15.75" customHeight="1">
      <c r="R568" s="2"/>
      <c r="S568" s="2"/>
      <c r="T568" s="2"/>
      <c r="U568" s="2"/>
      <c r="V568" s="2"/>
      <c r="W568" s="2"/>
      <c r="X568" s="2"/>
    </row>
    <row r="569" ht="15.75" customHeight="1">
      <c r="R569" s="2"/>
      <c r="S569" s="2"/>
      <c r="T569" s="2"/>
      <c r="U569" s="2"/>
      <c r="V569" s="2"/>
      <c r="W569" s="2"/>
      <c r="X569" s="2"/>
    </row>
    <row r="570" ht="15.75" customHeight="1">
      <c r="R570" s="2"/>
      <c r="S570" s="2"/>
      <c r="T570" s="2"/>
      <c r="U570" s="2"/>
      <c r="V570" s="2"/>
      <c r="W570" s="2"/>
      <c r="X570" s="2"/>
    </row>
    <row r="571" ht="15.75" customHeight="1">
      <c r="R571" s="2"/>
      <c r="S571" s="2"/>
      <c r="T571" s="2"/>
      <c r="U571" s="2"/>
      <c r="V571" s="2"/>
      <c r="W571" s="2"/>
      <c r="X571" s="2"/>
    </row>
    <row r="572" ht="15.75" customHeight="1">
      <c r="R572" s="2"/>
      <c r="S572" s="2"/>
      <c r="T572" s="2"/>
      <c r="U572" s="2"/>
      <c r="V572" s="2"/>
      <c r="W572" s="2"/>
      <c r="X572" s="2"/>
    </row>
    <row r="573" ht="15.75" customHeight="1">
      <c r="R573" s="2"/>
      <c r="S573" s="2"/>
      <c r="T573" s="2"/>
      <c r="U573" s="2"/>
      <c r="V573" s="2"/>
      <c r="W573" s="2"/>
      <c r="X573" s="2"/>
    </row>
    <row r="574" ht="15.75" customHeight="1">
      <c r="R574" s="2"/>
      <c r="S574" s="2"/>
      <c r="T574" s="2"/>
      <c r="U574" s="2"/>
      <c r="V574" s="2"/>
      <c r="W574" s="2"/>
      <c r="X574" s="2"/>
    </row>
    <row r="575" ht="15.75" customHeight="1">
      <c r="R575" s="2"/>
      <c r="S575" s="2"/>
      <c r="T575" s="2"/>
      <c r="U575" s="2"/>
      <c r="V575" s="2"/>
      <c r="W575" s="2"/>
      <c r="X575" s="2"/>
    </row>
    <row r="576" ht="15.75" customHeight="1">
      <c r="R576" s="2"/>
      <c r="S576" s="2"/>
      <c r="T576" s="2"/>
      <c r="U576" s="2"/>
      <c r="V576" s="2"/>
      <c r="W576" s="2"/>
      <c r="X576" s="2"/>
    </row>
    <row r="577" ht="15.75" customHeight="1">
      <c r="R577" s="2"/>
      <c r="S577" s="2"/>
      <c r="T577" s="2"/>
      <c r="U577" s="2"/>
      <c r="V577" s="2"/>
      <c r="W577" s="2"/>
      <c r="X577" s="2"/>
    </row>
    <row r="578" ht="15.75" customHeight="1">
      <c r="R578" s="2"/>
      <c r="S578" s="2"/>
      <c r="T578" s="2"/>
      <c r="U578" s="2"/>
      <c r="V578" s="2"/>
      <c r="W578" s="2"/>
      <c r="X578" s="2"/>
    </row>
    <row r="579" ht="15.75" customHeight="1">
      <c r="R579" s="2"/>
      <c r="S579" s="2"/>
      <c r="T579" s="2"/>
      <c r="U579" s="2"/>
      <c r="V579" s="2"/>
      <c r="W579" s="2"/>
      <c r="X579" s="2"/>
    </row>
    <row r="580" ht="15.75" customHeight="1">
      <c r="R580" s="2"/>
      <c r="S580" s="2"/>
      <c r="T580" s="2"/>
      <c r="U580" s="2"/>
      <c r="V580" s="2"/>
      <c r="W580" s="2"/>
      <c r="X580" s="2"/>
    </row>
    <row r="581" ht="15.75" customHeight="1">
      <c r="R581" s="2"/>
      <c r="S581" s="2"/>
      <c r="T581" s="2"/>
      <c r="U581" s="2"/>
      <c r="V581" s="2"/>
      <c r="W581" s="2"/>
      <c r="X581" s="2"/>
    </row>
    <row r="582" ht="15.75" customHeight="1">
      <c r="R582" s="2"/>
      <c r="S582" s="2"/>
      <c r="T582" s="2"/>
      <c r="U582" s="2"/>
      <c r="V582" s="2"/>
      <c r="W582" s="2"/>
      <c r="X582" s="2"/>
    </row>
    <row r="583" ht="15.75" customHeight="1">
      <c r="R583" s="2"/>
      <c r="S583" s="2"/>
      <c r="T583" s="2"/>
      <c r="U583" s="2"/>
      <c r="V583" s="2"/>
      <c r="W583" s="2"/>
      <c r="X583" s="2"/>
    </row>
    <row r="584" ht="15.75" customHeight="1">
      <c r="R584" s="2"/>
      <c r="S584" s="2"/>
      <c r="T584" s="2"/>
      <c r="U584" s="2"/>
      <c r="V584" s="2"/>
      <c r="W584" s="2"/>
      <c r="X584" s="2"/>
    </row>
    <row r="585" ht="15.75" customHeight="1">
      <c r="R585" s="2"/>
      <c r="S585" s="2"/>
      <c r="T585" s="2"/>
      <c r="U585" s="2"/>
      <c r="V585" s="2"/>
      <c r="W585" s="2"/>
      <c r="X585" s="2"/>
    </row>
    <row r="586" ht="15.75" customHeight="1">
      <c r="R586" s="2"/>
      <c r="S586" s="2"/>
      <c r="T586" s="2"/>
      <c r="U586" s="2"/>
      <c r="V586" s="2"/>
      <c r="W586" s="2"/>
      <c r="X586" s="2"/>
    </row>
    <row r="587" ht="15.75" customHeight="1">
      <c r="R587" s="2"/>
      <c r="S587" s="2"/>
      <c r="T587" s="2"/>
      <c r="U587" s="2"/>
      <c r="V587" s="2"/>
      <c r="W587" s="2"/>
      <c r="X587" s="2"/>
    </row>
    <row r="588" ht="15.75" customHeight="1">
      <c r="R588" s="2"/>
      <c r="S588" s="2"/>
      <c r="T588" s="2"/>
      <c r="U588" s="2"/>
      <c r="V588" s="2"/>
      <c r="W588" s="2"/>
      <c r="X588" s="2"/>
    </row>
    <row r="589" ht="15.75" customHeight="1">
      <c r="R589" s="2"/>
      <c r="S589" s="2"/>
      <c r="T589" s="2"/>
      <c r="U589" s="2"/>
      <c r="V589" s="2"/>
      <c r="W589" s="2"/>
      <c r="X589" s="2"/>
    </row>
    <row r="590" ht="15.75" customHeight="1">
      <c r="R590" s="2"/>
      <c r="S590" s="2"/>
      <c r="T590" s="2"/>
      <c r="U590" s="2"/>
      <c r="V590" s="2"/>
      <c r="W590" s="2"/>
      <c r="X590" s="2"/>
    </row>
    <row r="591" ht="15.75" customHeight="1">
      <c r="R591" s="2"/>
      <c r="S591" s="2"/>
      <c r="T591" s="2"/>
      <c r="U591" s="2"/>
      <c r="V591" s="2"/>
      <c r="W591" s="2"/>
      <c r="X591" s="2"/>
    </row>
    <row r="592" ht="15.75" customHeight="1">
      <c r="R592" s="2"/>
      <c r="S592" s="2"/>
      <c r="T592" s="2"/>
      <c r="U592" s="2"/>
      <c r="V592" s="2"/>
      <c r="W592" s="2"/>
      <c r="X592" s="2"/>
    </row>
    <row r="593" ht="15.75" customHeight="1">
      <c r="R593" s="2"/>
      <c r="S593" s="2"/>
      <c r="T593" s="2"/>
      <c r="U593" s="2"/>
      <c r="V593" s="2"/>
      <c r="W593" s="2"/>
      <c r="X593" s="2"/>
    </row>
    <row r="594" ht="15.75" customHeight="1">
      <c r="R594" s="2"/>
      <c r="S594" s="2"/>
      <c r="T594" s="2"/>
      <c r="U594" s="2"/>
      <c r="V594" s="2"/>
      <c r="W594" s="2"/>
      <c r="X594" s="2"/>
    </row>
    <row r="595" ht="15.75" customHeight="1">
      <c r="R595" s="2"/>
      <c r="S595" s="2"/>
      <c r="T595" s="2"/>
      <c r="U595" s="2"/>
      <c r="V595" s="2"/>
      <c r="W595" s="2"/>
      <c r="X595" s="2"/>
    </row>
    <row r="596" ht="15.75" customHeight="1">
      <c r="R596" s="2"/>
      <c r="S596" s="2"/>
      <c r="T596" s="2"/>
      <c r="U596" s="2"/>
      <c r="V596" s="2"/>
      <c r="W596" s="2"/>
      <c r="X596" s="2"/>
    </row>
    <row r="597" ht="15.75" customHeight="1">
      <c r="R597" s="2"/>
      <c r="S597" s="2"/>
      <c r="T597" s="2"/>
      <c r="U597" s="2"/>
      <c r="V597" s="2"/>
      <c r="W597" s="2"/>
      <c r="X597" s="2"/>
    </row>
    <row r="598" ht="15.75" customHeight="1">
      <c r="R598" s="2"/>
      <c r="S598" s="2"/>
      <c r="T598" s="2"/>
      <c r="U598" s="2"/>
      <c r="V598" s="2"/>
      <c r="W598" s="2"/>
      <c r="X598" s="2"/>
    </row>
    <row r="599" ht="15.75" customHeight="1">
      <c r="R599" s="2"/>
      <c r="S599" s="2"/>
      <c r="T599" s="2"/>
      <c r="U599" s="2"/>
      <c r="V599" s="2"/>
      <c r="W599" s="2"/>
      <c r="X599" s="2"/>
    </row>
    <row r="600" ht="15.75" customHeight="1">
      <c r="R600" s="2"/>
      <c r="S600" s="2"/>
      <c r="T600" s="2"/>
      <c r="U600" s="2"/>
      <c r="V600" s="2"/>
      <c r="W600" s="2"/>
      <c r="X600" s="2"/>
    </row>
    <row r="601" ht="15.75" customHeight="1">
      <c r="R601" s="2"/>
      <c r="S601" s="2"/>
      <c r="T601" s="2"/>
      <c r="U601" s="2"/>
      <c r="V601" s="2"/>
      <c r="W601" s="2"/>
      <c r="X601" s="2"/>
    </row>
    <row r="602" ht="15.75" customHeight="1">
      <c r="R602" s="2"/>
      <c r="S602" s="2"/>
      <c r="T602" s="2"/>
      <c r="U602" s="2"/>
      <c r="V602" s="2"/>
      <c r="W602" s="2"/>
      <c r="X602" s="2"/>
    </row>
    <row r="603" ht="15.75" customHeight="1">
      <c r="R603" s="2"/>
      <c r="S603" s="2"/>
      <c r="T603" s="2"/>
      <c r="U603" s="2"/>
      <c r="V603" s="2"/>
      <c r="W603" s="2"/>
      <c r="X603" s="2"/>
    </row>
    <row r="604" ht="15.75" customHeight="1">
      <c r="R604" s="2"/>
      <c r="S604" s="2"/>
      <c r="T604" s="2"/>
      <c r="U604" s="2"/>
      <c r="V604" s="2"/>
      <c r="W604" s="2"/>
      <c r="X604" s="2"/>
    </row>
    <row r="605" ht="15.75" customHeight="1">
      <c r="R605" s="2"/>
      <c r="S605" s="2"/>
      <c r="T605" s="2"/>
      <c r="U605" s="2"/>
      <c r="V605" s="2"/>
      <c r="W605" s="2"/>
      <c r="X605" s="2"/>
    </row>
    <row r="606" ht="15.75" customHeight="1">
      <c r="R606" s="2"/>
      <c r="S606" s="2"/>
      <c r="T606" s="2"/>
      <c r="U606" s="2"/>
      <c r="V606" s="2"/>
      <c r="W606" s="2"/>
      <c r="X606" s="2"/>
    </row>
    <row r="607" ht="15.75" customHeight="1">
      <c r="R607" s="2"/>
      <c r="S607" s="2"/>
      <c r="T607" s="2"/>
      <c r="U607" s="2"/>
      <c r="V607" s="2"/>
      <c r="W607" s="2"/>
      <c r="X607" s="2"/>
    </row>
    <row r="608" ht="15.75" customHeight="1">
      <c r="R608" s="2"/>
      <c r="S608" s="2"/>
      <c r="T608" s="2"/>
      <c r="U608" s="2"/>
      <c r="V608" s="2"/>
      <c r="W608" s="2"/>
      <c r="X608" s="2"/>
    </row>
    <row r="609" ht="15.75" customHeight="1">
      <c r="R609" s="2"/>
      <c r="S609" s="2"/>
      <c r="T609" s="2"/>
      <c r="U609" s="2"/>
      <c r="V609" s="2"/>
      <c r="W609" s="2"/>
      <c r="X609" s="2"/>
    </row>
    <row r="610" ht="15.75" customHeight="1">
      <c r="R610" s="2"/>
      <c r="S610" s="2"/>
      <c r="T610" s="2"/>
      <c r="U610" s="2"/>
      <c r="V610" s="2"/>
      <c r="W610" s="2"/>
      <c r="X610" s="2"/>
    </row>
    <row r="611" ht="15.75" customHeight="1">
      <c r="R611" s="2"/>
      <c r="S611" s="2"/>
      <c r="T611" s="2"/>
      <c r="U611" s="2"/>
      <c r="V611" s="2"/>
      <c r="W611" s="2"/>
      <c r="X611" s="2"/>
    </row>
    <row r="612" ht="15.75" customHeight="1">
      <c r="R612" s="2"/>
      <c r="S612" s="2"/>
      <c r="T612" s="2"/>
      <c r="U612" s="2"/>
      <c r="V612" s="2"/>
      <c r="W612" s="2"/>
      <c r="X612" s="2"/>
    </row>
    <row r="613" ht="15.75" customHeight="1">
      <c r="R613" s="2"/>
      <c r="S613" s="2"/>
      <c r="T613" s="2"/>
      <c r="U613" s="2"/>
      <c r="V613" s="2"/>
      <c r="W613" s="2"/>
      <c r="X613" s="2"/>
    </row>
    <row r="614" ht="15.75" customHeight="1">
      <c r="R614" s="2"/>
      <c r="S614" s="2"/>
      <c r="T614" s="2"/>
      <c r="U614" s="2"/>
      <c r="V614" s="2"/>
      <c r="W614" s="2"/>
      <c r="X614" s="2"/>
    </row>
    <row r="615" ht="15.75" customHeight="1">
      <c r="R615" s="2"/>
      <c r="S615" s="2"/>
      <c r="T615" s="2"/>
      <c r="U615" s="2"/>
      <c r="V615" s="2"/>
      <c r="W615" s="2"/>
      <c r="X615" s="2"/>
    </row>
    <row r="616" ht="15.75" customHeight="1">
      <c r="R616" s="2"/>
      <c r="S616" s="2"/>
      <c r="T616" s="2"/>
      <c r="U616" s="2"/>
      <c r="V616" s="2"/>
      <c r="W616" s="2"/>
      <c r="X616" s="2"/>
    </row>
    <row r="617" ht="15.75" customHeight="1">
      <c r="R617" s="2"/>
      <c r="S617" s="2"/>
      <c r="T617" s="2"/>
      <c r="U617" s="2"/>
      <c r="V617" s="2"/>
      <c r="W617" s="2"/>
      <c r="X617" s="2"/>
    </row>
    <row r="618" ht="15.75" customHeight="1">
      <c r="R618" s="2"/>
      <c r="S618" s="2"/>
      <c r="T618" s="2"/>
      <c r="U618" s="2"/>
      <c r="V618" s="2"/>
      <c r="W618" s="2"/>
      <c r="X618" s="2"/>
    </row>
    <row r="619" ht="15.75" customHeight="1">
      <c r="R619" s="2"/>
      <c r="S619" s="2"/>
      <c r="T619" s="2"/>
      <c r="U619" s="2"/>
      <c r="V619" s="2"/>
      <c r="W619" s="2"/>
      <c r="X619" s="2"/>
    </row>
    <row r="620" ht="15.75" customHeight="1">
      <c r="R620" s="2"/>
      <c r="S620" s="2"/>
      <c r="T620" s="2"/>
      <c r="U620" s="2"/>
      <c r="V620" s="2"/>
      <c r="W620" s="2"/>
      <c r="X620" s="2"/>
    </row>
    <row r="621" ht="15.75" customHeight="1">
      <c r="R621" s="2"/>
      <c r="S621" s="2"/>
      <c r="T621" s="2"/>
      <c r="U621" s="2"/>
      <c r="V621" s="2"/>
      <c r="W621" s="2"/>
      <c r="X621" s="2"/>
    </row>
    <row r="622" ht="15.75" customHeight="1">
      <c r="R622" s="2"/>
      <c r="S622" s="2"/>
      <c r="T622" s="2"/>
      <c r="U622" s="2"/>
      <c r="V622" s="2"/>
      <c r="W622" s="2"/>
      <c r="X622" s="2"/>
    </row>
    <row r="623" ht="15.75" customHeight="1">
      <c r="R623" s="2"/>
      <c r="S623" s="2"/>
      <c r="T623" s="2"/>
      <c r="U623" s="2"/>
      <c r="V623" s="2"/>
      <c r="W623" s="2"/>
      <c r="X623" s="2"/>
    </row>
    <row r="624" ht="15.75" customHeight="1">
      <c r="R624" s="2"/>
      <c r="S624" s="2"/>
      <c r="T624" s="2"/>
      <c r="U624" s="2"/>
      <c r="V624" s="2"/>
      <c r="W624" s="2"/>
      <c r="X624" s="2"/>
    </row>
    <row r="625" ht="15.75" customHeight="1">
      <c r="R625" s="2"/>
      <c r="S625" s="2"/>
      <c r="T625" s="2"/>
      <c r="U625" s="2"/>
      <c r="V625" s="2"/>
      <c r="W625" s="2"/>
      <c r="X625" s="2"/>
    </row>
    <row r="626" ht="15.75" customHeight="1">
      <c r="R626" s="2"/>
      <c r="S626" s="2"/>
      <c r="T626" s="2"/>
      <c r="U626" s="2"/>
      <c r="V626" s="2"/>
      <c r="W626" s="2"/>
      <c r="X626" s="2"/>
    </row>
    <row r="627" ht="15.75" customHeight="1">
      <c r="R627" s="2"/>
      <c r="S627" s="2"/>
      <c r="T627" s="2"/>
      <c r="U627" s="2"/>
      <c r="V627" s="2"/>
      <c r="W627" s="2"/>
      <c r="X627" s="2"/>
    </row>
    <row r="628" ht="15.75" customHeight="1">
      <c r="R628" s="2"/>
      <c r="S628" s="2"/>
      <c r="T628" s="2"/>
      <c r="U628" s="2"/>
      <c r="V628" s="2"/>
      <c r="W628" s="2"/>
      <c r="X628" s="2"/>
    </row>
    <row r="629" ht="15.75" customHeight="1">
      <c r="R629" s="2"/>
      <c r="S629" s="2"/>
      <c r="T629" s="2"/>
      <c r="U629" s="2"/>
      <c r="V629" s="2"/>
      <c r="W629" s="2"/>
      <c r="X629" s="2"/>
    </row>
    <row r="630" ht="15.75" customHeight="1">
      <c r="R630" s="2"/>
      <c r="S630" s="2"/>
      <c r="T630" s="2"/>
      <c r="U630" s="2"/>
      <c r="V630" s="2"/>
      <c r="W630" s="2"/>
      <c r="X630" s="2"/>
    </row>
    <row r="631" ht="15.75" customHeight="1">
      <c r="R631" s="2"/>
      <c r="S631" s="2"/>
      <c r="T631" s="2"/>
      <c r="U631" s="2"/>
      <c r="V631" s="2"/>
      <c r="W631" s="2"/>
      <c r="X631" s="2"/>
    </row>
    <row r="632" ht="15.75" customHeight="1">
      <c r="R632" s="2"/>
      <c r="S632" s="2"/>
      <c r="T632" s="2"/>
      <c r="U632" s="2"/>
      <c r="V632" s="2"/>
      <c r="W632" s="2"/>
      <c r="X632" s="2"/>
    </row>
    <row r="633" ht="15.75" customHeight="1">
      <c r="R633" s="2"/>
      <c r="S633" s="2"/>
      <c r="T633" s="2"/>
      <c r="U633" s="2"/>
      <c r="V633" s="2"/>
      <c r="W633" s="2"/>
      <c r="X633" s="2"/>
    </row>
    <row r="634" ht="15.75" customHeight="1">
      <c r="R634" s="2"/>
      <c r="S634" s="2"/>
      <c r="T634" s="2"/>
      <c r="U634" s="2"/>
      <c r="V634" s="2"/>
      <c r="W634" s="2"/>
      <c r="X634" s="2"/>
    </row>
    <row r="635" ht="15.75" customHeight="1">
      <c r="R635" s="2"/>
      <c r="S635" s="2"/>
      <c r="T635" s="2"/>
      <c r="U635" s="2"/>
      <c r="V635" s="2"/>
      <c r="W635" s="2"/>
      <c r="X635" s="2"/>
    </row>
    <row r="636" ht="15.75" customHeight="1">
      <c r="R636" s="2"/>
      <c r="S636" s="2"/>
      <c r="T636" s="2"/>
      <c r="U636" s="2"/>
      <c r="V636" s="2"/>
      <c r="W636" s="2"/>
      <c r="X636" s="2"/>
    </row>
    <row r="637" ht="15.75" customHeight="1">
      <c r="R637" s="2"/>
      <c r="S637" s="2"/>
      <c r="T637" s="2"/>
      <c r="U637" s="2"/>
      <c r="V637" s="2"/>
      <c r="W637" s="2"/>
      <c r="X637" s="2"/>
    </row>
    <row r="638" ht="15.75" customHeight="1">
      <c r="R638" s="2"/>
      <c r="S638" s="2"/>
      <c r="T638" s="2"/>
      <c r="U638" s="2"/>
      <c r="V638" s="2"/>
      <c r="W638" s="2"/>
      <c r="X638" s="2"/>
    </row>
    <row r="639" ht="15.75" customHeight="1">
      <c r="R639" s="2"/>
      <c r="S639" s="2"/>
      <c r="T639" s="2"/>
      <c r="U639" s="2"/>
      <c r="V639" s="2"/>
      <c r="W639" s="2"/>
      <c r="X639" s="2"/>
    </row>
    <row r="640" ht="15.75" customHeight="1">
      <c r="R640" s="2"/>
      <c r="S640" s="2"/>
      <c r="T640" s="2"/>
      <c r="U640" s="2"/>
      <c r="V640" s="2"/>
      <c r="W640" s="2"/>
      <c r="X640" s="2"/>
    </row>
    <row r="641" ht="15.75" customHeight="1">
      <c r="R641" s="2"/>
      <c r="S641" s="2"/>
      <c r="T641" s="2"/>
      <c r="U641" s="2"/>
      <c r="V641" s="2"/>
      <c r="W641" s="2"/>
      <c r="X641" s="2"/>
    </row>
    <row r="642" ht="15.75" customHeight="1">
      <c r="R642" s="2"/>
      <c r="S642" s="2"/>
      <c r="T642" s="2"/>
      <c r="U642" s="2"/>
      <c r="V642" s="2"/>
      <c r="W642" s="2"/>
      <c r="X642" s="2"/>
    </row>
    <row r="643" ht="15.75" customHeight="1">
      <c r="R643" s="2"/>
      <c r="S643" s="2"/>
      <c r="T643" s="2"/>
      <c r="U643" s="2"/>
      <c r="V643" s="2"/>
      <c r="W643" s="2"/>
      <c r="X643" s="2"/>
    </row>
    <row r="644" ht="15.75" customHeight="1">
      <c r="R644" s="2"/>
      <c r="S644" s="2"/>
      <c r="T644" s="2"/>
      <c r="U644" s="2"/>
      <c r="V644" s="2"/>
      <c r="W644" s="2"/>
      <c r="X644" s="2"/>
    </row>
    <row r="645" ht="15.75" customHeight="1">
      <c r="R645" s="2"/>
      <c r="S645" s="2"/>
      <c r="T645" s="2"/>
      <c r="U645" s="2"/>
      <c r="V645" s="2"/>
      <c r="W645" s="2"/>
      <c r="X645" s="2"/>
    </row>
    <row r="646" ht="15.75" customHeight="1">
      <c r="R646" s="2"/>
      <c r="S646" s="2"/>
      <c r="T646" s="2"/>
      <c r="U646" s="2"/>
      <c r="V646" s="2"/>
      <c r="W646" s="2"/>
      <c r="X646" s="2"/>
    </row>
    <row r="647" ht="15.75" customHeight="1">
      <c r="R647" s="2"/>
      <c r="S647" s="2"/>
      <c r="T647" s="2"/>
      <c r="U647" s="2"/>
      <c r="V647" s="2"/>
      <c r="W647" s="2"/>
      <c r="X647" s="2"/>
    </row>
    <row r="648" ht="15.75" customHeight="1">
      <c r="R648" s="2"/>
      <c r="S648" s="2"/>
      <c r="T648" s="2"/>
      <c r="U648" s="2"/>
      <c r="V648" s="2"/>
      <c r="W648" s="2"/>
      <c r="X648" s="2"/>
    </row>
    <row r="649" ht="15.75" customHeight="1">
      <c r="R649" s="2"/>
      <c r="S649" s="2"/>
      <c r="T649" s="2"/>
      <c r="U649" s="2"/>
      <c r="V649" s="2"/>
      <c r="W649" s="2"/>
      <c r="X649" s="2"/>
    </row>
    <row r="650" ht="15.75" customHeight="1">
      <c r="R650" s="2"/>
      <c r="S650" s="2"/>
      <c r="T650" s="2"/>
      <c r="U650" s="2"/>
      <c r="V650" s="2"/>
      <c r="W650" s="2"/>
      <c r="X650" s="2"/>
    </row>
    <row r="651" ht="15.75" customHeight="1">
      <c r="R651" s="2"/>
      <c r="S651" s="2"/>
      <c r="T651" s="2"/>
      <c r="U651" s="2"/>
      <c r="V651" s="2"/>
      <c r="W651" s="2"/>
      <c r="X651" s="2"/>
    </row>
    <row r="652" ht="15.75" customHeight="1">
      <c r="R652" s="2"/>
      <c r="S652" s="2"/>
      <c r="T652" s="2"/>
      <c r="U652" s="2"/>
      <c r="V652" s="2"/>
      <c r="W652" s="2"/>
      <c r="X652" s="2"/>
    </row>
    <row r="653" ht="15.75" customHeight="1">
      <c r="R653" s="2"/>
      <c r="S653" s="2"/>
      <c r="T653" s="2"/>
      <c r="U653" s="2"/>
      <c r="V653" s="2"/>
      <c r="W653" s="2"/>
      <c r="X653" s="2"/>
    </row>
    <row r="654" ht="15.75" customHeight="1">
      <c r="R654" s="2"/>
      <c r="S654" s="2"/>
      <c r="T654" s="2"/>
      <c r="U654" s="2"/>
      <c r="V654" s="2"/>
      <c r="W654" s="2"/>
      <c r="X654" s="2"/>
    </row>
    <row r="655" ht="15.75" customHeight="1">
      <c r="R655" s="2"/>
      <c r="S655" s="2"/>
      <c r="T655" s="2"/>
      <c r="U655" s="2"/>
      <c r="V655" s="2"/>
      <c r="W655" s="2"/>
      <c r="X655" s="2"/>
    </row>
    <row r="656" ht="15.75" customHeight="1">
      <c r="R656" s="2"/>
      <c r="S656" s="2"/>
      <c r="T656" s="2"/>
      <c r="U656" s="2"/>
      <c r="V656" s="2"/>
      <c r="W656" s="2"/>
      <c r="X656" s="2"/>
    </row>
    <row r="657" ht="15.75" customHeight="1">
      <c r="R657" s="2"/>
      <c r="S657" s="2"/>
      <c r="T657" s="2"/>
      <c r="U657" s="2"/>
      <c r="V657" s="2"/>
      <c r="W657" s="2"/>
      <c r="X657" s="2"/>
    </row>
    <row r="658" ht="15.75" customHeight="1">
      <c r="R658" s="2"/>
      <c r="S658" s="2"/>
      <c r="T658" s="2"/>
      <c r="U658" s="2"/>
      <c r="V658" s="2"/>
      <c r="W658" s="2"/>
      <c r="X658" s="2"/>
    </row>
    <row r="659" ht="15.75" customHeight="1">
      <c r="R659" s="2"/>
      <c r="S659" s="2"/>
      <c r="T659" s="2"/>
      <c r="U659" s="2"/>
      <c r="V659" s="2"/>
      <c r="W659" s="2"/>
      <c r="X659" s="2"/>
    </row>
    <row r="660" ht="15.75" customHeight="1">
      <c r="R660" s="2"/>
      <c r="S660" s="2"/>
      <c r="T660" s="2"/>
      <c r="U660" s="2"/>
      <c r="V660" s="2"/>
      <c r="W660" s="2"/>
      <c r="X660" s="2"/>
    </row>
    <row r="661" ht="15.75" customHeight="1">
      <c r="R661" s="2"/>
      <c r="S661" s="2"/>
      <c r="T661" s="2"/>
      <c r="U661" s="2"/>
      <c r="V661" s="2"/>
      <c r="W661" s="2"/>
      <c r="X661" s="2"/>
    </row>
    <row r="662" ht="15.75" customHeight="1">
      <c r="R662" s="2"/>
      <c r="S662" s="2"/>
      <c r="T662" s="2"/>
      <c r="U662" s="2"/>
      <c r="V662" s="2"/>
      <c r="W662" s="2"/>
      <c r="X662" s="2"/>
    </row>
    <row r="663" ht="15.75" customHeight="1">
      <c r="R663" s="2"/>
      <c r="S663" s="2"/>
      <c r="T663" s="2"/>
      <c r="U663" s="2"/>
      <c r="V663" s="2"/>
      <c r="W663" s="2"/>
      <c r="X663" s="2"/>
    </row>
    <row r="664" ht="15.75" customHeight="1">
      <c r="R664" s="2"/>
      <c r="S664" s="2"/>
      <c r="T664" s="2"/>
      <c r="U664" s="2"/>
      <c r="V664" s="2"/>
      <c r="W664" s="2"/>
      <c r="X664" s="2"/>
    </row>
    <row r="665" ht="15.75" customHeight="1">
      <c r="R665" s="2"/>
      <c r="S665" s="2"/>
      <c r="T665" s="2"/>
      <c r="U665" s="2"/>
      <c r="V665" s="2"/>
      <c r="W665" s="2"/>
      <c r="X665" s="2"/>
    </row>
    <row r="666" ht="15.75" customHeight="1">
      <c r="R666" s="2"/>
      <c r="S666" s="2"/>
      <c r="T666" s="2"/>
      <c r="U666" s="2"/>
      <c r="V666" s="2"/>
      <c r="W666" s="2"/>
      <c r="X666" s="2"/>
    </row>
    <row r="667" ht="15.75" customHeight="1">
      <c r="R667" s="2"/>
      <c r="S667" s="2"/>
      <c r="T667" s="2"/>
      <c r="U667" s="2"/>
      <c r="V667" s="2"/>
      <c r="W667" s="2"/>
      <c r="X667" s="2"/>
    </row>
    <row r="668" ht="15.75" customHeight="1">
      <c r="R668" s="2"/>
      <c r="S668" s="2"/>
      <c r="T668" s="2"/>
      <c r="U668" s="2"/>
      <c r="V668" s="2"/>
      <c r="W668" s="2"/>
      <c r="X668" s="2"/>
    </row>
    <row r="669" ht="15.75" customHeight="1">
      <c r="R669" s="2"/>
      <c r="S669" s="2"/>
      <c r="T669" s="2"/>
      <c r="U669" s="2"/>
      <c r="V669" s="2"/>
      <c r="W669" s="2"/>
      <c r="X669" s="2"/>
    </row>
    <row r="670" ht="15.75" customHeight="1">
      <c r="R670" s="2"/>
      <c r="S670" s="2"/>
      <c r="T670" s="2"/>
      <c r="U670" s="2"/>
      <c r="V670" s="2"/>
      <c r="W670" s="2"/>
      <c r="X670" s="2"/>
    </row>
    <row r="671" ht="15.75" customHeight="1">
      <c r="R671" s="2"/>
      <c r="S671" s="2"/>
      <c r="T671" s="2"/>
      <c r="U671" s="2"/>
      <c r="V671" s="2"/>
      <c r="W671" s="2"/>
      <c r="X671" s="2"/>
    </row>
    <row r="672" ht="15.75" customHeight="1">
      <c r="R672" s="2"/>
      <c r="S672" s="2"/>
      <c r="T672" s="2"/>
      <c r="U672" s="2"/>
      <c r="V672" s="2"/>
      <c r="W672" s="2"/>
      <c r="X672" s="2"/>
    </row>
    <row r="673" ht="15.75" customHeight="1">
      <c r="R673" s="2"/>
      <c r="S673" s="2"/>
      <c r="T673" s="2"/>
      <c r="U673" s="2"/>
      <c r="V673" s="2"/>
      <c r="W673" s="2"/>
      <c r="X673" s="2"/>
    </row>
    <row r="674" ht="15.75" customHeight="1">
      <c r="R674" s="2"/>
      <c r="S674" s="2"/>
      <c r="T674" s="2"/>
      <c r="U674" s="2"/>
      <c r="V674" s="2"/>
      <c r="W674" s="2"/>
      <c r="X674" s="2"/>
    </row>
    <row r="675" ht="15.75" customHeight="1">
      <c r="R675" s="2"/>
      <c r="S675" s="2"/>
      <c r="T675" s="2"/>
      <c r="U675" s="2"/>
      <c r="V675" s="2"/>
      <c r="W675" s="2"/>
      <c r="X675" s="2"/>
    </row>
    <row r="676" ht="15.75" customHeight="1">
      <c r="R676" s="2"/>
      <c r="S676" s="2"/>
      <c r="T676" s="2"/>
      <c r="U676" s="2"/>
      <c r="V676" s="2"/>
      <c r="W676" s="2"/>
      <c r="X676" s="2"/>
    </row>
    <row r="677" ht="15.75" customHeight="1">
      <c r="R677" s="2"/>
      <c r="S677" s="2"/>
      <c r="T677" s="2"/>
      <c r="U677" s="2"/>
      <c r="V677" s="2"/>
      <c r="W677" s="2"/>
      <c r="X677" s="2"/>
    </row>
    <row r="678" ht="15.75" customHeight="1">
      <c r="R678" s="2"/>
      <c r="S678" s="2"/>
      <c r="T678" s="2"/>
      <c r="U678" s="2"/>
      <c r="V678" s="2"/>
      <c r="W678" s="2"/>
      <c r="X678" s="2"/>
    </row>
    <row r="679" ht="15.75" customHeight="1">
      <c r="R679" s="2"/>
      <c r="S679" s="2"/>
      <c r="T679" s="2"/>
      <c r="U679" s="2"/>
      <c r="V679" s="2"/>
      <c r="W679" s="2"/>
      <c r="X679" s="2"/>
    </row>
    <row r="680" ht="15.75" customHeight="1">
      <c r="R680" s="2"/>
      <c r="S680" s="2"/>
      <c r="T680" s="2"/>
      <c r="U680" s="2"/>
      <c r="V680" s="2"/>
      <c r="W680" s="2"/>
      <c r="X680" s="2"/>
    </row>
    <row r="681" ht="15.75" customHeight="1">
      <c r="R681" s="2"/>
      <c r="S681" s="2"/>
      <c r="T681" s="2"/>
      <c r="U681" s="2"/>
      <c r="V681" s="2"/>
      <c r="W681" s="2"/>
      <c r="X681" s="2"/>
    </row>
    <row r="682" ht="15.75" customHeight="1">
      <c r="R682" s="2"/>
      <c r="S682" s="2"/>
      <c r="T682" s="2"/>
      <c r="U682" s="2"/>
      <c r="V682" s="2"/>
      <c r="W682" s="2"/>
      <c r="X682" s="2"/>
    </row>
    <row r="683" ht="15.75" customHeight="1">
      <c r="R683" s="2"/>
      <c r="S683" s="2"/>
      <c r="T683" s="2"/>
      <c r="U683" s="2"/>
      <c r="V683" s="2"/>
      <c r="W683" s="2"/>
      <c r="X683" s="2"/>
    </row>
    <row r="684" ht="15.75" customHeight="1">
      <c r="R684" s="2"/>
      <c r="S684" s="2"/>
      <c r="T684" s="2"/>
      <c r="U684" s="2"/>
      <c r="V684" s="2"/>
      <c r="W684" s="2"/>
      <c r="X684" s="2"/>
    </row>
    <row r="685" ht="15.75" customHeight="1">
      <c r="R685" s="2"/>
      <c r="S685" s="2"/>
      <c r="T685" s="2"/>
      <c r="U685" s="2"/>
      <c r="V685" s="2"/>
      <c r="W685" s="2"/>
      <c r="X685" s="2"/>
    </row>
    <row r="686" ht="15.75" customHeight="1">
      <c r="R686" s="2"/>
      <c r="S686" s="2"/>
      <c r="T686" s="2"/>
      <c r="U686" s="2"/>
      <c r="V686" s="2"/>
      <c r="W686" s="2"/>
      <c r="X686" s="2"/>
    </row>
    <row r="687" ht="15.75" customHeight="1">
      <c r="R687" s="2"/>
      <c r="S687" s="2"/>
      <c r="T687" s="2"/>
      <c r="U687" s="2"/>
      <c r="V687" s="2"/>
      <c r="W687" s="2"/>
      <c r="X687" s="2"/>
    </row>
    <row r="688" ht="15.75" customHeight="1">
      <c r="R688" s="2"/>
      <c r="S688" s="2"/>
      <c r="T688" s="2"/>
      <c r="U688" s="2"/>
      <c r="V688" s="2"/>
      <c r="W688" s="2"/>
      <c r="X688" s="2"/>
    </row>
    <row r="689" ht="15.75" customHeight="1">
      <c r="R689" s="2"/>
      <c r="S689" s="2"/>
      <c r="T689" s="2"/>
      <c r="U689" s="2"/>
      <c r="V689" s="2"/>
      <c r="W689" s="2"/>
      <c r="X689" s="2"/>
    </row>
    <row r="690" ht="15.75" customHeight="1">
      <c r="R690" s="2"/>
      <c r="S690" s="2"/>
      <c r="T690" s="2"/>
      <c r="U690" s="2"/>
      <c r="V690" s="2"/>
      <c r="W690" s="2"/>
      <c r="X690" s="2"/>
    </row>
    <row r="691" ht="15.75" customHeight="1">
      <c r="R691" s="2"/>
      <c r="S691" s="2"/>
      <c r="T691" s="2"/>
      <c r="U691" s="2"/>
      <c r="V691" s="2"/>
      <c r="W691" s="2"/>
      <c r="X691" s="2"/>
    </row>
    <row r="692" ht="15.75" customHeight="1">
      <c r="R692" s="2"/>
      <c r="S692" s="2"/>
      <c r="T692" s="2"/>
      <c r="U692" s="2"/>
      <c r="V692" s="2"/>
      <c r="W692" s="2"/>
      <c r="X692" s="2"/>
    </row>
    <row r="693" ht="15.75" customHeight="1">
      <c r="R693" s="2"/>
      <c r="S693" s="2"/>
      <c r="T693" s="2"/>
      <c r="U693" s="2"/>
      <c r="V693" s="2"/>
      <c r="W693" s="2"/>
      <c r="X693" s="2"/>
    </row>
    <row r="694" ht="15.75" customHeight="1">
      <c r="R694" s="2"/>
      <c r="S694" s="2"/>
      <c r="T694" s="2"/>
      <c r="U694" s="2"/>
      <c r="V694" s="2"/>
      <c r="W694" s="2"/>
      <c r="X694" s="2"/>
    </row>
    <row r="695" ht="15.75" customHeight="1">
      <c r="R695" s="2"/>
      <c r="S695" s="2"/>
      <c r="T695" s="2"/>
      <c r="U695" s="2"/>
      <c r="V695" s="2"/>
      <c r="W695" s="2"/>
      <c r="X695" s="2"/>
    </row>
    <row r="696" ht="15.75" customHeight="1">
      <c r="R696" s="2"/>
      <c r="S696" s="2"/>
      <c r="T696" s="2"/>
      <c r="U696" s="2"/>
      <c r="V696" s="2"/>
      <c r="W696" s="2"/>
      <c r="X696" s="2"/>
    </row>
    <row r="697" ht="15.75" customHeight="1">
      <c r="R697" s="2"/>
      <c r="S697" s="2"/>
      <c r="T697" s="2"/>
      <c r="U697" s="2"/>
      <c r="V697" s="2"/>
      <c r="W697" s="2"/>
      <c r="X697" s="2"/>
    </row>
    <row r="698" ht="15.75" customHeight="1">
      <c r="R698" s="2"/>
      <c r="S698" s="2"/>
      <c r="T698" s="2"/>
      <c r="U698" s="2"/>
      <c r="V698" s="2"/>
      <c r="W698" s="2"/>
      <c r="X698" s="2"/>
    </row>
    <row r="699" ht="15.75" customHeight="1">
      <c r="R699" s="2"/>
      <c r="S699" s="2"/>
      <c r="T699" s="2"/>
      <c r="U699" s="2"/>
      <c r="V699" s="2"/>
      <c r="W699" s="2"/>
      <c r="X699" s="2"/>
    </row>
    <row r="700" ht="15.75" customHeight="1">
      <c r="R700" s="2"/>
      <c r="S700" s="2"/>
      <c r="T700" s="2"/>
      <c r="U700" s="2"/>
      <c r="V700" s="2"/>
      <c r="W700" s="2"/>
      <c r="X700" s="2"/>
    </row>
    <row r="701" ht="15.75" customHeight="1">
      <c r="R701" s="2"/>
      <c r="S701" s="2"/>
      <c r="T701" s="2"/>
      <c r="U701" s="2"/>
      <c r="V701" s="2"/>
      <c r="W701" s="2"/>
      <c r="X701" s="2"/>
    </row>
    <row r="702" ht="15.75" customHeight="1">
      <c r="R702" s="2"/>
      <c r="S702" s="2"/>
      <c r="T702" s="2"/>
      <c r="U702" s="2"/>
      <c r="V702" s="2"/>
      <c r="W702" s="2"/>
      <c r="X702" s="2"/>
    </row>
    <row r="703" ht="15.75" customHeight="1">
      <c r="R703" s="2"/>
      <c r="S703" s="2"/>
      <c r="T703" s="2"/>
      <c r="U703" s="2"/>
      <c r="V703" s="2"/>
      <c r="W703" s="2"/>
      <c r="X703" s="2"/>
    </row>
    <row r="704" ht="15.75" customHeight="1">
      <c r="R704" s="2"/>
      <c r="S704" s="2"/>
      <c r="T704" s="2"/>
      <c r="U704" s="2"/>
      <c r="V704" s="2"/>
      <c r="W704" s="2"/>
      <c r="X704" s="2"/>
    </row>
    <row r="705" ht="15.75" customHeight="1">
      <c r="R705" s="2"/>
      <c r="S705" s="2"/>
      <c r="T705" s="2"/>
      <c r="U705" s="2"/>
      <c r="V705" s="2"/>
      <c r="W705" s="2"/>
      <c r="X705" s="2"/>
    </row>
    <row r="706" ht="15.75" customHeight="1">
      <c r="R706" s="2"/>
      <c r="S706" s="2"/>
      <c r="T706" s="2"/>
      <c r="U706" s="2"/>
      <c r="V706" s="2"/>
      <c r="W706" s="2"/>
      <c r="X706" s="2"/>
    </row>
    <row r="707" ht="15.75" customHeight="1">
      <c r="R707" s="2"/>
      <c r="S707" s="2"/>
      <c r="T707" s="2"/>
      <c r="U707" s="2"/>
      <c r="V707" s="2"/>
      <c r="W707" s="2"/>
      <c r="X707" s="2"/>
    </row>
    <row r="708" ht="15.75" customHeight="1">
      <c r="R708" s="2"/>
      <c r="S708" s="2"/>
      <c r="T708" s="2"/>
      <c r="U708" s="2"/>
      <c r="V708" s="2"/>
      <c r="W708" s="2"/>
      <c r="X708" s="2"/>
    </row>
    <row r="709" ht="15.75" customHeight="1">
      <c r="R709" s="2"/>
      <c r="S709" s="2"/>
      <c r="T709" s="2"/>
      <c r="U709" s="2"/>
      <c r="V709" s="2"/>
      <c r="W709" s="2"/>
      <c r="X709" s="2"/>
    </row>
    <row r="710" ht="15.75" customHeight="1">
      <c r="R710" s="2"/>
      <c r="S710" s="2"/>
      <c r="T710" s="2"/>
      <c r="U710" s="2"/>
      <c r="V710" s="2"/>
      <c r="W710" s="2"/>
      <c r="X710" s="2"/>
    </row>
    <row r="711" ht="15.75" customHeight="1">
      <c r="R711" s="2"/>
      <c r="S711" s="2"/>
      <c r="T711" s="2"/>
      <c r="U711" s="2"/>
      <c r="V711" s="2"/>
      <c r="W711" s="2"/>
      <c r="X711" s="2"/>
    </row>
    <row r="712" ht="15.75" customHeight="1">
      <c r="R712" s="2"/>
      <c r="S712" s="2"/>
      <c r="T712" s="2"/>
      <c r="U712" s="2"/>
      <c r="V712" s="2"/>
      <c r="W712" s="2"/>
      <c r="X712" s="2"/>
    </row>
    <row r="713" ht="15.75" customHeight="1">
      <c r="R713" s="2"/>
      <c r="S713" s="2"/>
      <c r="T713" s="2"/>
      <c r="U713" s="2"/>
      <c r="V713" s="2"/>
      <c r="W713" s="2"/>
      <c r="X713" s="2"/>
    </row>
    <row r="714" ht="15.75" customHeight="1">
      <c r="R714" s="2"/>
      <c r="S714" s="2"/>
      <c r="T714" s="2"/>
      <c r="U714" s="2"/>
      <c r="V714" s="2"/>
      <c r="W714" s="2"/>
      <c r="X714" s="2"/>
    </row>
    <row r="715" ht="15.75" customHeight="1">
      <c r="R715" s="2"/>
      <c r="S715" s="2"/>
      <c r="T715" s="2"/>
      <c r="U715" s="2"/>
      <c r="V715" s="2"/>
      <c r="W715" s="2"/>
      <c r="X715" s="2"/>
    </row>
    <row r="716" ht="15.75" customHeight="1">
      <c r="R716" s="2"/>
      <c r="S716" s="2"/>
      <c r="T716" s="2"/>
      <c r="U716" s="2"/>
      <c r="V716" s="2"/>
      <c r="W716" s="2"/>
      <c r="X716" s="2"/>
    </row>
    <row r="717" ht="15.75" customHeight="1">
      <c r="R717" s="2"/>
      <c r="S717" s="2"/>
      <c r="T717" s="2"/>
      <c r="U717" s="2"/>
      <c r="V717" s="2"/>
      <c r="W717" s="2"/>
      <c r="X717" s="2"/>
    </row>
    <row r="718" ht="15.75" customHeight="1">
      <c r="R718" s="2"/>
      <c r="S718" s="2"/>
      <c r="T718" s="2"/>
      <c r="U718" s="2"/>
      <c r="V718" s="2"/>
      <c r="W718" s="2"/>
      <c r="X718" s="2"/>
    </row>
    <row r="719" ht="15.75" customHeight="1">
      <c r="R719" s="2"/>
      <c r="S719" s="2"/>
      <c r="T719" s="2"/>
      <c r="U719" s="2"/>
      <c r="V719" s="2"/>
      <c r="W719" s="2"/>
      <c r="X719" s="2"/>
    </row>
    <row r="720" ht="15.75" customHeight="1">
      <c r="R720" s="2"/>
      <c r="S720" s="2"/>
      <c r="T720" s="2"/>
      <c r="U720" s="2"/>
      <c r="V720" s="2"/>
      <c r="W720" s="2"/>
      <c r="X720" s="2"/>
    </row>
    <row r="721" ht="15.75" customHeight="1">
      <c r="R721" s="2"/>
      <c r="S721" s="2"/>
      <c r="T721" s="2"/>
      <c r="U721" s="2"/>
      <c r="V721" s="2"/>
      <c r="W721" s="2"/>
      <c r="X721" s="2"/>
    </row>
    <row r="722" ht="15.75" customHeight="1">
      <c r="R722" s="2"/>
      <c r="S722" s="2"/>
      <c r="T722" s="2"/>
      <c r="U722" s="2"/>
      <c r="V722" s="2"/>
      <c r="W722" s="2"/>
      <c r="X722" s="2"/>
    </row>
    <row r="723" ht="15.75" customHeight="1">
      <c r="R723" s="2"/>
      <c r="S723" s="2"/>
      <c r="T723" s="2"/>
      <c r="U723" s="2"/>
      <c r="V723" s="2"/>
      <c r="W723" s="2"/>
      <c r="X723" s="2"/>
    </row>
    <row r="724" ht="15.75" customHeight="1">
      <c r="R724" s="2"/>
      <c r="S724" s="2"/>
      <c r="T724" s="2"/>
      <c r="U724" s="2"/>
      <c r="V724" s="2"/>
      <c r="W724" s="2"/>
      <c r="X724" s="2"/>
    </row>
    <row r="725" ht="15.75" customHeight="1">
      <c r="R725" s="2"/>
      <c r="S725" s="2"/>
      <c r="T725" s="2"/>
      <c r="U725" s="2"/>
      <c r="V725" s="2"/>
      <c r="W725" s="2"/>
      <c r="X725" s="2"/>
    </row>
    <row r="726" ht="15.75" customHeight="1">
      <c r="R726" s="2"/>
      <c r="S726" s="2"/>
      <c r="T726" s="2"/>
      <c r="U726" s="2"/>
      <c r="V726" s="2"/>
      <c r="W726" s="2"/>
      <c r="X726" s="2"/>
    </row>
    <row r="727" ht="15.75" customHeight="1">
      <c r="R727" s="2"/>
      <c r="S727" s="2"/>
      <c r="T727" s="2"/>
      <c r="U727" s="2"/>
      <c r="V727" s="2"/>
      <c r="W727" s="2"/>
      <c r="X727" s="2"/>
    </row>
    <row r="728" ht="15.75" customHeight="1">
      <c r="R728" s="2"/>
      <c r="S728" s="2"/>
      <c r="T728" s="2"/>
      <c r="U728" s="2"/>
      <c r="V728" s="2"/>
      <c r="W728" s="2"/>
      <c r="X728" s="2"/>
    </row>
    <row r="729" ht="15.75" customHeight="1">
      <c r="R729" s="2"/>
      <c r="S729" s="2"/>
      <c r="T729" s="2"/>
      <c r="U729" s="2"/>
      <c r="V729" s="2"/>
      <c r="W729" s="2"/>
      <c r="X729" s="2"/>
    </row>
    <row r="730" ht="15.75" customHeight="1">
      <c r="R730" s="2"/>
      <c r="S730" s="2"/>
      <c r="T730" s="2"/>
      <c r="U730" s="2"/>
      <c r="V730" s="2"/>
      <c r="W730" s="2"/>
      <c r="X730" s="2"/>
    </row>
    <row r="731" ht="15.75" customHeight="1">
      <c r="R731" s="2"/>
      <c r="S731" s="2"/>
      <c r="T731" s="2"/>
      <c r="U731" s="2"/>
      <c r="V731" s="2"/>
      <c r="W731" s="2"/>
      <c r="X731" s="2"/>
    </row>
    <row r="732" ht="15.75" customHeight="1">
      <c r="R732" s="2"/>
      <c r="S732" s="2"/>
      <c r="T732" s="2"/>
      <c r="U732" s="2"/>
      <c r="V732" s="2"/>
      <c r="W732" s="2"/>
      <c r="X732" s="2"/>
    </row>
    <row r="733" ht="15.75" customHeight="1">
      <c r="R733" s="2"/>
      <c r="S733" s="2"/>
      <c r="T733" s="2"/>
      <c r="U733" s="2"/>
      <c r="V733" s="2"/>
      <c r="W733" s="2"/>
      <c r="X733" s="2"/>
    </row>
    <row r="734" ht="15.75" customHeight="1">
      <c r="R734" s="2"/>
      <c r="S734" s="2"/>
      <c r="T734" s="2"/>
      <c r="U734" s="2"/>
      <c r="V734" s="2"/>
      <c r="W734" s="2"/>
      <c r="X734" s="2"/>
    </row>
    <row r="735" ht="15.75" customHeight="1">
      <c r="R735" s="2"/>
      <c r="S735" s="2"/>
      <c r="T735" s="2"/>
      <c r="U735" s="2"/>
      <c r="V735" s="2"/>
      <c r="W735" s="2"/>
      <c r="X735" s="2"/>
    </row>
    <row r="736" ht="15.75" customHeight="1">
      <c r="R736" s="2"/>
      <c r="S736" s="2"/>
      <c r="T736" s="2"/>
      <c r="U736" s="2"/>
      <c r="V736" s="2"/>
      <c r="W736" s="2"/>
      <c r="X736" s="2"/>
    </row>
    <row r="737" ht="15.75" customHeight="1">
      <c r="R737" s="2"/>
      <c r="S737" s="2"/>
      <c r="T737" s="2"/>
      <c r="U737" s="2"/>
      <c r="V737" s="2"/>
      <c r="W737" s="2"/>
      <c r="X737" s="2"/>
    </row>
    <row r="738" ht="15.75" customHeight="1">
      <c r="R738" s="2"/>
      <c r="S738" s="2"/>
      <c r="T738" s="2"/>
      <c r="U738" s="2"/>
      <c r="V738" s="2"/>
      <c r="W738" s="2"/>
      <c r="X738" s="2"/>
    </row>
    <row r="739" ht="15.75" customHeight="1">
      <c r="R739" s="2"/>
      <c r="S739" s="2"/>
      <c r="T739" s="2"/>
      <c r="U739" s="2"/>
      <c r="V739" s="2"/>
      <c r="W739" s="2"/>
      <c r="X739" s="2"/>
    </row>
    <row r="740" ht="15.75" customHeight="1">
      <c r="R740" s="2"/>
      <c r="S740" s="2"/>
      <c r="T740" s="2"/>
      <c r="U740" s="2"/>
      <c r="V740" s="2"/>
      <c r="W740" s="2"/>
      <c r="X740" s="2"/>
    </row>
    <row r="741" ht="15.75" customHeight="1">
      <c r="R741" s="2"/>
      <c r="S741" s="2"/>
      <c r="T741" s="2"/>
      <c r="U741" s="2"/>
      <c r="V741" s="2"/>
      <c r="W741" s="2"/>
      <c r="X741" s="2"/>
    </row>
    <row r="742" ht="15.75" customHeight="1">
      <c r="R742" s="2"/>
      <c r="S742" s="2"/>
      <c r="T742" s="2"/>
      <c r="U742" s="2"/>
      <c r="V742" s="2"/>
      <c r="W742" s="2"/>
      <c r="X742" s="2"/>
    </row>
    <row r="743" ht="15.75" customHeight="1">
      <c r="R743" s="2"/>
      <c r="S743" s="2"/>
      <c r="T743" s="2"/>
      <c r="U743" s="2"/>
      <c r="V743" s="2"/>
      <c r="W743" s="2"/>
      <c r="X743" s="2"/>
    </row>
    <row r="744" ht="15.75" customHeight="1">
      <c r="R744" s="2"/>
      <c r="S744" s="2"/>
      <c r="T744" s="2"/>
      <c r="U744" s="2"/>
      <c r="V744" s="2"/>
      <c r="W744" s="2"/>
      <c r="X744" s="2"/>
    </row>
    <row r="745" ht="15.75" customHeight="1">
      <c r="R745" s="2"/>
      <c r="S745" s="2"/>
      <c r="T745" s="2"/>
      <c r="U745" s="2"/>
      <c r="V745" s="2"/>
      <c r="W745" s="2"/>
      <c r="X745" s="2"/>
    </row>
    <row r="746" ht="15.75" customHeight="1">
      <c r="R746" s="2"/>
      <c r="S746" s="2"/>
      <c r="T746" s="2"/>
      <c r="U746" s="2"/>
      <c r="V746" s="2"/>
      <c r="W746" s="2"/>
      <c r="X746" s="2"/>
    </row>
    <row r="747" ht="15.75" customHeight="1">
      <c r="R747" s="2"/>
      <c r="S747" s="2"/>
      <c r="T747" s="2"/>
      <c r="U747" s="2"/>
      <c r="V747" s="2"/>
      <c r="W747" s="2"/>
      <c r="X747" s="2"/>
    </row>
    <row r="748" ht="15.75" customHeight="1">
      <c r="R748" s="2"/>
      <c r="S748" s="2"/>
      <c r="T748" s="2"/>
      <c r="U748" s="2"/>
      <c r="V748" s="2"/>
      <c r="W748" s="2"/>
      <c r="X748" s="2"/>
    </row>
    <row r="749" ht="15.75" customHeight="1">
      <c r="R749" s="2"/>
      <c r="S749" s="2"/>
      <c r="T749" s="2"/>
      <c r="U749" s="2"/>
      <c r="V749" s="2"/>
      <c r="W749" s="2"/>
      <c r="X749" s="2"/>
    </row>
    <row r="750" ht="15.75" customHeight="1">
      <c r="R750" s="2"/>
      <c r="S750" s="2"/>
      <c r="T750" s="2"/>
      <c r="U750" s="2"/>
      <c r="V750" s="2"/>
      <c r="W750" s="2"/>
      <c r="X750" s="2"/>
    </row>
    <row r="751" ht="15.75" customHeight="1">
      <c r="R751" s="2"/>
      <c r="S751" s="2"/>
      <c r="T751" s="2"/>
      <c r="U751" s="2"/>
      <c r="V751" s="2"/>
      <c r="W751" s="2"/>
      <c r="X751" s="2"/>
    </row>
    <row r="752" ht="15.75" customHeight="1">
      <c r="R752" s="2"/>
      <c r="S752" s="2"/>
      <c r="T752" s="2"/>
      <c r="U752" s="2"/>
      <c r="V752" s="2"/>
      <c r="W752" s="2"/>
      <c r="X752" s="2"/>
    </row>
    <row r="753" ht="15.75" customHeight="1">
      <c r="R753" s="2"/>
      <c r="S753" s="2"/>
      <c r="T753" s="2"/>
      <c r="U753" s="2"/>
      <c r="V753" s="2"/>
      <c r="W753" s="2"/>
      <c r="X753" s="2"/>
    </row>
    <row r="754" ht="15.75" customHeight="1">
      <c r="R754" s="2"/>
      <c r="S754" s="2"/>
      <c r="T754" s="2"/>
      <c r="U754" s="2"/>
      <c r="V754" s="2"/>
      <c r="W754" s="2"/>
      <c r="X754" s="2"/>
    </row>
    <row r="755" ht="15.75" customHeight="1">
      <c r="R755" s="2"/>
      <c r="S755" s="2"/>
      <c r="T755" s="2"/>
      <c r="U755" s="2"/>
      <c r="V755" s="2"/>
      <c r="W755" s="2"/>
      <c r="X755" s="2"/>
    </row>
    <row r="756" ht="15.75" customHeight="1">
      <c r="R756" s="2"/>
      <c r="S756" s="2"/>
      <c r="T756" s="2"/>
      <c r="U756" s="2"/>
      <c r="V756" s="2"/>
      <c r="W756" s="2"/>
      <c r="X756" s="2"/>
    </row>
    <row r="757" ht="15.75" customHeight="1">
      <c r="R757" s="2"/>
      <c r="S757" s="2"/>
      <c r="T757" s="2"/>
      <c r="U757" s="2"/>
      <c r="V757" s="2"/>
      <c r="W757" s="2"/>
      <c r="X757" s="2"/>
    </row>
    <row r="758" ht="15.75" customHeight="1">
      <c r="R758" s="2"/>
      <c r="S758" s="2"/>
      <c r="T758" s="2"/>
      <c r="U758" s="2"/>
      <c r="V758" s="2"/>
      <c r="W758" s="2"/>
      <c r="X758" s="2"/>
    </row>
    <row r="759" ht="15.75" customHeight="1">
      <c r="R759" s="2"/>
      <c r="S759" s="2"/>
      <c r="T759" s="2"/>
      <c r="U759" s="2"/>
      <c r="V759" s="2"/>
      <c r="W759" s="2"/>
      <c r="X759" s="2"/>
    </row>
    <row r="760" ht="15.75" customHeight="1">
      <c r="R760" s="2"/>
      <c r="S760" s="2"/>
      <c r="T760" s="2"/>
      <c r="U760" s="2"/>
      <c r="V760" s="2"/>
      <c r="W760" s="2"/>
      <c r="X760" s="2"/>
    </row>
    <row r="761" ht="15.75" customHeight="1">
      <c r="R761" s="2"/>
      <c r="S761" s="2"/>
      <c r="T761" s="2"/>
      <c r="U761" s="2"/>
      <c r="V761" s="2"/>
      <c r="W761" s="2"/>
      <c r="X761" s="2"/>
    </row>
    <row r="762" ht="15.75" customHeight="1">
      <c r="R762" s="2"/>
      <c r="S762" s="2"/>
      <c r="T762" s="2"/>
      <c r="U762" s="2"/>
      <c r="V762" s="2"/>
      <c r="W762" s="2"/>
      <c r="X762" s="2"/>
    </row>
    <row r="763" ht="15.75" customHeight="1">
      <c r="R763" s="2"/>
      <c r="S763" s="2"/>
      <c r="T763" s="2"/>
      <c r="U763" s="2"/>
      <c r="V763" s="2"/>
      <c r="W763" s="2"/>
      <c r="X763" s="2"/>
    </row>
    <row r="764" ht="15.75" customHeight="1">
      <c r="R764" s="2"/>
      <c r="S764" s="2"/>
      <c r="T764" s="2"/>
      <c r="U764" s="2"/>
      <c r="V764" s="2"/>
      <c r="W764" s="2"/>
      <c r="X764" s="2"/>
    </row>
    <row r="765" ht="15.75" customHeight="1">
      <c r="R765" s="2"/>
      <c r="S765" s="2"/>
      <c r="T765" s="2"/>
      <c r="U765" s="2"/>
      <c r="V765" s="2"/>
      <c r="W765" s="2"/>
      <c r="X765" s="2"/>
    </row>
    <row r="766" ht="15.75" customHeight="1">
      <c r="R766" s="2"/>
      <c r="S766" s="2"/>
      <c r="T766" s="2"/>
      <c r="U766" s="2"/>
      <c r="V766" s="2"/>
      <c r="W766" s="2"/>
      <c r="X766" s="2"/>
    </row>
    <row r="767" ht="15.75" customHeight="1">
      <c r="R767" s="2"/>
      <c r="S767" s="2"/>
      <c r="T767" s="2"/>
      <c r="U767" s="2"/>
      <c r="V767" s="2"/>
      <c r="W767" s="2"/>
      <c r="X767" s="2"/>
    </row>
    <row r="768" ht="15.75" customHeight="1">
      <c r="R768" s="2"/>
      <c r="S768" s="2"/>
      <c r="T768" s="2"/>
      <c r="U768" s="2"/>
      <c r="V768" s="2"/>
      <c r="W768" s="2"/>
      <c r="X768" s="2"/>
    </row>
    <row r="769" ht="15.75" customHeight="1">
      <c r="R769" s="2"/>
      <c r="S769" s="2"/>
      <c r="T769" s="2"/>
      <c r="U769" s="2"/>
      <c r="V769" s="2"/>
      <c r="W769" s="2"/>
      <c r="X769" s="2"/>
    </row>
    <row r="770" ht="15.75" customHeight="1">
      <c r="R770" s="2"/>
      <c r="S770" s="2"/>
      <c r="T770" s="2"/>
      <c r="U770" s="2"/>
      <c r="V770" s="2"/>
      <c r="W770" s="2"/>
      <c r="X770" s="2"/>
    </row>
    <row r="771" ht="15.75" customHeight="1">
      <c r="R771" s="2"/>
      <c r="S771" s="2"/>
      <c r="T771" s="2"/>
      <c r="U771" s="2"/>
      <c r="V771" s="2"/>
      <c r="W771" s="2"/>
      <c r="X771" s="2"/>
    </row>
    <row r="772" ht="15.75" customHeight="1">
      <c r="R772" s="2"/>
      <c r="S772" s="2"/>
      <c r="T772" s="2"/>
      <c r="U772" s="2"/>
      <c r="V772" s="2"/>
      <c r="W772" s="2"/>
      <c r="X772" s="2"/>
    </row>
    <row r="773" ht="15.75" customHeight="1">
      <c r="R773" s="2"/>
      <c r="S773" s="2"/>
      <c r="T773" s="2"/>
      <c r="U773" s="2"/>
      <c r="V773" s="2"/>
      <c r="W773" s="2"/>
      <c r="X773" s="2"/>
    </row>
    <row r="774" ht="15.75" customHeight="1">
      <c r="R774" s="2"/>
      <c r="S774" s="2"/>
      <c r="T774" s="2"/>
      <c r="U774" s="2"/>
      <c r="V774" s="2"/>
      <c r="W774" s="2"/>
      <c r="X774" s="2"/>
    </row>
    <row r="775" ht="15.75" customHeight="1">
      <c r="R775" s="2"/>
      <c r="S775" s="2"/>
      <c r="T775" s="2"/>
      <c r="U775" s="2"/>
      <c r="V775" s="2"/>
      <c r="W775" s="2"/>
      <c r="X775" s="2"/>
    </row>
    <row r="776" ht="15.75" customHeight="1">
      <c r="R776" s="2"/>
      <c r="S776" s="2"/>
      <c r="T776" s="2"/>
      <c r="U776" s="2"/>
      <c r="V776" s="2"/>
      <c r="W776" s="2"/>
      <c r="X776" s="2"/>
    </row>
    <row r="777" ht="15.75" customHeight="1">
      <c r="R777" s="2"/>
      <c r="S777" s="2"/>
      <c r="T777" s="2"/>
      <c r="U777" s="2"/>
      <c r="V777" s="2"/>
      <c r="W777" s="2"/>
      <c r="X777" s="2"/>
    </row>
    <row r="778" ht="15.75" customHeight="1">
      <c r="R778" s="2"/>
      <c r="S778" s="2"/>
      <c r="T778" s="2"/>
      <c r="U778" s="2"/>
      <c r="V778" s="2"/>
      <c r="W778" s="2"/>
      <c r="X778" s="2"/>
    </row>
    <row r="779" ht="15.75" customHeight="1">
      <c r="R779" s="2"/>
      <c r="S779" s="2"/>
      <c r="T779" s="2"/>
      <c r="U779" s="2"/>
      <c r="V779" s="2"/>
      <c r="W779" s="2"/>
      <c r="X779" s="2"/>
    </row>
    <row r="780" ht="15.75" customHeight="1">
      <c r="R780" s="2"/>
      <c r="S780" s="2"/>
      <c r="T780" s="2"/>
      <c r="U780" s="2"/>
      <c r="V780" s="2"/>
      <c r="W780" s="2"/>
      <c r="X780" s="2"/>
    </row>
    <row r="781" ht="15.75" customHeight="1">
      <c r="R781" s="2"/>
      <c r="S781" s="2"/>
      <c r="T781" s="2"/>
      <c r="U781" s="2"/>
      <c r="V781" s="2"/>
      <c r="W781" s="2"/>
      <c r="X781" s="2"/>
    </row>
    <row r="782" ht="15.75" customHeight="1">
      <c r="R782" s="2"/>
      <c r="S782" s="2"/>
      <c r="T782" s="2"/>
      <c r="U782" s="2"/>
      <c r="V782" s="2"/>
      <c r="W782" s="2"/>
      <c r="X782" s="2"/>
    </row>
    <row r="783" ht="15.75" customHeight="1">
      <c r="R783" s="2"/>
      <c r="S783" s="2"/>
      <c r="T783" s="2"/>
      <c r="U783" s="2"/>
      <c r="V783" s="2"/>
      <c r="W783" s="2"/>
      <c r="X783" s="2"/>
    </row>
    <row r="784" ht="15.75" customHeight="1">
      <c r="R784" s="2"/>
      <c r="S784" s="2"/>
      <c r="T784" s="2"/>
      <c r="U784" s="2"/>
      <c r="V784" s="2"/>
      <c r="W784" s="2"/>
      <c r="X784" s="2"/>
    </row>
    <row r="785" ht="15.75" customHeight="1">
      <c r="R785" s="2"/>
      <c r="S785" s="2"/>
      <c r="T785" s="2"/>
      <c r="U785" s="2"/>
      <c r="V785" s="2"/>
      <c r="W785" s="2"/>
      <c r="X785" s="2"/>
    </row>
    <row r="786" ht="15.75" customHeight="1">
      <c r="R786" s="2"/>
      <c r="S786" s="2"/>
      <c r="T786" s="2"/>
      <c r="U786" s="2"/>
      <c r="V786" s="2"/>
      <c r="W786" s="2"/>
      <c r="X786" s="2"/>
    </row>
    <row r="787" ht="15.75" customHeight="1">
      <c r="R787" s="2"/>
      <c r="S787" s="2"/>
      <c r="T787" s="2"/>
      <c r="U787" s="2"/>
      <c r="V787" s="2"/>
      <c r="W787" s="2"/>
      <c r="X787" s="2"/>
    </row>
    <row r="788" ht="15.75" customHeight="1">
      <c r="R788" s="2"/>
      <c r="S788" s="2"/>
      <c r="T788" s="2"/>
      <c r="U788" s="2"/>
      <c r="V788" s="2"/>
      <c r="W788" s="2"/>
      <c r="X788" s="2"/>
    </row>
    <row r="789" ht="15.75" customHeight="1">
      <c r="R789" s="2"/>
      <c r="S789" s="2"/>
      <c r="T789" s="2"/>
      <c r="U789" s="2"/>
      <c r="V789" s="2"/>
      <c r="W789" s="2"/>
      <c r="X789" s="2"/>
    </row>
    <row r="790" ht="15.75" customHeight="1">
      <c r="R790" s="2"/>
      <c r="S790" s="2"/>
      <c r="T790" s="2"/>
      <c r="U790" s="2"/>
      <c r="V790" s="2"/>
      <c r="W790" s="2"/>
      <c r="X790" s="2"/>
    </row>
    <row r="791" ht="15.75" customHeight="1">
      <c r="R791" s="2"/>
      <c r="S791" s="2"/>
      <c r="T791" s="2"/>
      <c r="U791" s="2"/>
      <c r="V791" s="2"/>
      <c r="W791" s="2"/>
      <c r="X791" s="2"/>
    </row>
    <row r="792" ht="15.75" customHeight="1">
      <c r="R792" s="2"/>
      <c r="S792" s="2"/>
      <c r="T792" s="2"/>
      <c r="U792" s="2"/>
      <c r="V792" s="2"/>
      <c r="W792" s="2"/>
      <c r="X792" s="2"/>
    </row>
    <row r="793" ht="15.75" customHeight="1">
      <c r="R793" s="2"/>
      <c r="S793" s="2"/>
      <c r="T793" s="2"/>
      <c r="U793" s="2"/>
      <c r="V793" s="2"/>
      <c r="W793" s="2"/>
      <c r="X793" s="2"/>
    </row>
    <row r="794" ht="15.75" customHeight="1">
      <c r="R794" s="2"/>
      <c r="S794" s="2"/>
      <c r="T794" s="2"/>
      <c r="U794" s="2"/>
      <c r="V794" s="2"/>
      <c r="W794" s="2"/>
      <c r="X794" s="2"/>
    </row>
    <row r="795" ht="15.75" customHeight="1">
      <c r="R795" s="2"/>
      <c r="S795" s="2"/>
      <c r="T795" s="2"/>
      <c r="U795" s="2"/>
      <c r="V795" s="2"/>
      <c r="W795" s="2"/>
      <c r="X795" s="2"/>
    </row>
    <row r="796" ht="15.75" customHeight="1">
      <c r="R796" s="2"/>
      <c r="S796" s="2"/>
      <c r="T796" s="2"/>
      <c r="U796" s="2"/>
      <c r="V796" s="2"/>
      <c r="W796" s="2"/>
      <c r="X796" s="2"/>
    </row>
    <row r="797" ht="15.75" customHeight="1">
      <c r="R797" s="2"/>
      <c r="S797" s="2"/>
      <c r="T797" s="2"/>
      <c r="U797" s="2"/>
      <c r="V797" s="2"/>
      <c r="W797" s="2"/>
      <c r="X797" s="2"/>
    </row>
    <row r="798" ht="15.75" customHeight="1">
      <c r="R798" s="2"/>
      <c r="S798" s="2"/>
      <c r="T798" s="2"/>
      <c r="U798" s="2"/>
      <c r="V798" s="2"/>
      <c r="W798" s="2"/>
      <c r="X798" s="2"/>
    </row>
    <row r="799" ht="15.75" customHeight="1">
      <c r="R799" s="2"/>
      <c r="S799" s="2"/>
      <c r="T799" s="2"/>
      <c r="U799" s="2"/>
      <c r="V799" s="2"/>
      <c r="W799" s="2"/>
      <c r="X799" s="2"/>
    </row>
    <row r="800" ht="15.75" customHeight="1">
      <c r="R800" s="2"/>
      <c r="S800" s="2"/>
      <c r="T800" s="2"/>
      <c r="U800" s="2"/>
      <c r="V800" s="2"/>
      <c r="W800" s="2"/>
      <c r="X800" s="2"/>
    </row>
    <row r="801" ht="15.75" customHeight="1">
      <c r="R801" s="2"/>
      <c r="S801" s="2"/>
      <c r="T801" s="2"/>
      <c r="U801" s="2"/>
      <c r="V801" s="2"/>
      <c r="W801" s="2"/>
      <c r="X801" s="2"/>
    </row>
    <row r="802" ht="15.75" customHeight="1">
      <c r="R802" s="2"/>
      <c r="S802" s="2"/>
      <c r="T802" s="2"/>
      <c r="U802" s="2"/>
      <c r="V802" s="2"/>
      <c r="W802" s="2"/>
      <c r="X802" s="2"/>
    </row>
    <row r="803" ht="15.75" customHeight="1">
      <c r="R803" s="2"/>
      <c r="S803" s="2"/>
      <c r="T803" s="2"/>
      <c r="U803" s="2"/>
      <c r="V803" s="2"/>
      <c r="W803" s="2"/>
      <c r="X803" s="2"/>
    </row>
    <row r="804" ht="15.75" customHeight="1">
      <c r="R804" s="2"/>
      <c r="S804" s="2"/>
      <c r="T804" s="2"/>
      <c r="U804" s="2"/>
      <c r="V804" s="2"/>
      <c r="W804" s="2"/>
      <c r="X804" s="2"/>
    </row>
    <row r="805" ht="15.75" customHeight="1">
      <c r="R805" s="2"/>
      <c r="S805" s="2"/>
      <c r="T805" s="2"/>
      <c r="U805" s="2"/>
      <c r="V805" s="2"/>
      <c r="W805" s="2"/>
      <c r="X805" s="2"/>
    </row>
    <row r="806" ht="15.75" customHeight="1">
      <c r="R806" s="2"/>
      <c r="S806" s="2"/>
      <c r="T806" s="2"/>
      <c r="U806" s="2"/>
      <c r="V806" s="2"/>
      <c r="W806" s="2"/>
      <c r="X806" s="2"/>
    </row>
    <row r="807" ht="15.75" customHeight="1">
      <c r="R807" s="2"/>
      <c r="S807" s="2"/>
      <c r="T807" s="2"/>
      <c r="U807" s="2"/>
      <c r="V807" s="2"/>
      <c r="W807" s="2"/>
      <c r="X807" s="2"/>
    </row>
    <row r="808" ht="15.75" customHeight="1">
      <c r="R808" s="2"/>
      <c r="S808" s="2"/>
      <c r="T808" s="2"/>
      <c r="U808" s="2"/>
      <c r="V808" s="2"/>
      <c r="W808" s="2"/>
      <c r="X808" s="2"/>
    </row>
    <row r="809" ht="15.75" customHeight="1">
      <c r="R809" s="2"/>
      <c r="S809" s="2"/>
      <c r="T809" s="2"/>
      <c r="U809" s="2"/>
      <c r="V809" s="2"/>
      <c r="W809" s="2"/>
      <c r="X809" s="2"/>
    </row>
    <row r="810" ht="15.75" customHeight="1">
      <c r="R810" s="2"/>
      <c r="S810" s="2"/>
      <c r="T810" s="2"/>
      <c r="U810" s="2"/>
      <c r="V810" s="2"/>
      <c r="W810" s="2"/>
      <c r="X810" s="2"/>
    </row>
    <row r="811" ht="15.75" customHeight="1">
      <c r="R811" s="2"/>
      <c r="S811" s="2"/>
      <c r="T811" s="2"/>
      <c r="U811" s="2"/>
      <c r="V811" s="2"/>
      <c r="W811" s="2"/>
      <c r="X811" s="2"/>
    </row>
    <row r="812" ht="15.75" customHeight="1">
      <c r="R812" s="2"/>
      <c r="S812" s="2"/>
      <c r="T812" s="2"/>
      <c r="U812" s="2"/>
      <c r="V812" s="2"/>
      <c r="W812" s="2"/>
      <c r="X812" s="2"/>
    </row>
    <row r="813" ht="15.75" customHeight="1">
      <c r="R813" s="2"/>
      <c r="S813" s="2"/>
      <c r="T813" s="2"/>
      <c r="U813" s="2"/>
      <c r="V813" s="2"/>
      <c r="W813" s="2"/>
      <c r="X813" s="2"/>
    </row>
    <row r="814" ht="15.75" customHeight="1">
      <c r="R814" s="2"/>
      <c r="S814" s="2"/>
      <c r="T814" s="2"/>
      <c r="U814" s="2"/>
      <c r="V814" s="2"/>
      <c r="W814" s="2"/>
      <c r="X814" s="2"/>
    </row>
    <row r="815" ht="15.75" customHeight="1">
      <c r="R815" s="2"/>
      <c r="S815" s="2"/>
      <c r="T815" s="2"/>
      <c r="U815" s="2"/>
      <c r="V815" s="2"/>
      <c r="W815" s="2"/>
      <c r="X815" s="2"/>
    </row>
    <row r="816" ht="15.75" customHeight="1">
      <c r="R816" s="2"/>
      <c r="S816" s="2"/>
      <c r="T816" s="2"/>
      <c r="U816" s="2"/>
      <c r="V816" s="2"/>
      <c r="W816" s="2"/>
      <c r="X816" s="2"/>
    </row>
    <row r="817" ht="15.75" customHeight="1">
      <c r="R817" s="2"/>
      <c r="S817" s="2"/>
      <c r="T817" s="2"/>
      <c r="U817" s="2"/>
      <c r="V817" s="2"/>
      <c r="W817" s="2"/>
      <c r="X817" s="2"/>
    </row>
    <row r="818" ht="15.75" customHeight="1">
      <c r="R818" s="2"/>
      <c r="S818" s="2"/>
      <c r="T818" s="2"/>
      <c r="U818" s="2"/>
      <c r="V818" s="2"/>
      <c r="W818" s="2"/>
      <c r="X818" s="2"/>
    </row>
    <row r="819" ht="15.75" customHeight="1">
      <c r="R819" s="2"/>
      <c r="S819" s="2"/>
      <c r="T819" s="2"/>
      <c r="U819" s="2"/>
      <c r="V819" s="2"/>
      <c r="W819" s="2"/>
      <c r="X819" s="2"/>
    </row>
    <row r="820" ht="15.75" customHeight="1">
      <c r="R820" s="2"/>
      <c r="S820" s="2"/>
      <c r="T820" s="2"/>
      <c r="U820" s="2"/>
      <c r="V820" s="2"/>
      <c r="W820" s="2"/>
      <c r="X820" s="2"/>
    </row>
    <row r="821" ht="15.75" customHeight="1">
      <c r="R821" s="2"/>
      <c r="S821" s="2"/>
      <c r="T821" s="2"/>
      <c r="U821" s="2"/>
      <c r="V821" s="2"/>
      <c r="W821" s="2"/>
      <c r="X821" s="2"/>
    </row>
    <row r="822" ht="15.75" customHeight="1">
      <c r="R822" s="2"/>
      <c r="S822" s="2"/>
      <c r="T822" s="2"/>
      <c r="U822" s="2"/>
      <c r="V822" s="2"/>
      <c r="W822" s="2"/>
      <c r="X822" s="2"/>
    </row>
    <row r="823" ht="15.75" customHeight="1">
      <c r="R823" s="2"/>
      <c r="S823" s="2"/>
      <c r="T823" s="2"/>
      <c r="U823" s="2"/>
      <c r="V823" s="2"/>
      <c r="W823" s="2"/>
      <c r="X823" s="2"/>
    </row>
    <row r="824" ht="15.75" customHeight="1">
      <c r="R824" s="2"/>
      <c r="S824" s="2"/>
      <c r="T824" s="2"/>
      <c r="U824" s="2"/>
      <c r="V824" s="2"/>
      <c r="W824" s="2"/>
      <c r="X824" s="2"/>
    </row>
    <row r="825" ht="15.75" customHeight="1">
      <c r="R825" s="2"/>
      <c r="S825" s="2"/>
      <c r="T825" s="2"/>
      <c r="U825" s="2"/>
      <c r="V825" s="2"/>
      <c r="W825" s="2"/>
      <c r="X825" s="2"/>
    </row>
    <row r="826" ht="15.75" customHeight="1">
      <c r="R826" s="2"/>
      <c r="S826" s="2"/>
      <c r="T826" s="2"/>
      <c r="U826" s="2"/>
      <c r="V826" s="2"/>
      <c r="W826" s="2"/>
      <c r="X826" s="2"/>
    </row>
    <row r="827" ht="15.75" customHeight="1">
      <c r="R827" s="2"/>
      <c r="S827" s="2"/>
      <c r="T827" s="2"/>
      <c r="U827" s="2"/>
      <c r="V827" s="2"/>
      <c r="W827" s="2"/>
      <c r="X827" s="2"/>
    </row>
    <row r="828" ht="15.75" customHeight="1">
      <c r="R828" s="2"/>
      <c r="S828" s="2"/>
      <c r="T828" s="2"/>
      <c r="U828" s="2"/>
      <c r="V828" s="2"/>
      <c r="W828" s="2"/>
      <c r="X828" s="2"/>
    </row>
    <row r="829" ht="15.75" customHeight="1">
      <c r="R829" s="2"/>
      <c r="S829" s="2"/>
      <c r="T829" s="2"/>
      <c r="U829" s="2"/>
      <c r="V829" s="2"/>
      <c r="W829" s="2"/>
      <c r="X829" s="2"/>
    </row>
    <row r="830" ht="15.75" customHeight="1">
      <c r="R830" s="2"/>
      <c r="S830" s="2"/>
      <c r="T830" s="2"/>
      <c r="U830" s="2"/>
      <c r="V830" s="2"/>
      <c r="W830" s="2"/>
      <c r="X830" s="2"/>
    </row>
    <row r="831" ht="15.75" customHeight="1">
      <c r="R831" s="2"/>
      <c r="S831" s="2"/>
      <c r="T831" s="2"/>
      <c r="U831" s="2"/>
      <c r="V831" s="2"/>
      <c r="W831" s="2"/>
      <c r="X831" s="2"/>
    </row>
    <row r="832" ht="15.75" customHeight="1">
      <c r="R832" s="2"/>
      <c r="S832" s="2"/>
      <c r="T832" s="2"/>
      <c r="U832" s="2"/>
      <c r="V832" s="2"/>
      <c r="W832" s="2"/>
      <c r="X832" s="2"/>
    </row>
    <row r="833" ht="15.75" customHeight="1">
      <c r="R833" s="2"/>
      <c r="S833" s="2"/>
      <c r="T833" s="2"/>
      <c r="U833" s="2"/>
      <c r="V833" s="2"/>
      <c r="W833" s="2"/>
      <c r="X833" s="2"/>
    </row>
    <row r="834" ht="15.75" customHeight="1">
      <c r="R834" s="2"/>
      <c r="S834" s="2"/>
      <c r="T834" s="2"/>
      <c r="U834" s="2"/>
      <c r="V834" s="2"/>
      <c r="W834" s="2"/>
      <c r="X834" s="2"/>
    </row>
    <row r="835" ht="15.75" customHeight="1">
      <c r="R835" s="2"/>
      <c r="S835" s="2"/>
      <c r="T835" s="2"/>
      <c r="U835" s="2"/>
      <c r="V835" s="2"/>
      <c r="W835" s="2"/>
      <c r="X835" s="2"/>
    </row>
    <row r="836" ht="15.75" customHeight="1">
      <c r="R836" s="2"/>
      <c r="S836" s="2"/>
      <c r="T836" s="2"/>
      <c r="U836" s="2"/>
      <c r="V836" s="2"/>
      <c r="W836" s="2"/>
      <c r="X836" s="2"/>
    </row>
    <row r="837" ht="15.75" customHeight="1">
      <c r="R837" s="2"/>
      <c r="S837" s="2"/>
      <c r="T837" s="2"/>
      <c r="U837" s="2"/>
      <c r="V837" s="2"/>
      <c r="W837" s="2"/>
      <c r="X837" s="2"/>
    </row>
    <row r="838" ht="15.75" customHeight="1">
      <c r="R838" s="2"/>
      <c r="S838" s="2"/>
      <c r="T838" s="2"/>
      <c r="U838" s="2"/>
      <c r="V838" s="2"/>
      <c r="W838" s="2"/>
      <c r="X838" s="2"/>
    </row>
    <row r="839" ht="15.75" customHeight="1">
      <c r="R839" s="2"/>
      <c r="S839" s="2"/>
      <c r="T839" s="2"/>
      <c r="U839" s="2"/>
      <c r="V839" s="2"/>
      <c r="W839" s="2"/>
      <c r="X839" s="2"/>
    </row>
    <row r="840" ht="15.75" customHeight="1">
      <c r="R840" s="2"/>
      <c r="S840" s="2"/>
      <c r="T840" s="2"/>
      <c r="U840" s="2"/>
      <c r="V840" s="2"/>
      <c r="W840" s="2"/>
      <c r="X840" s="2"/>
    </row>
    <row r="841" ht="15.75" customHeight="1">
      <c r="R841" s="2"/>
      <c r="S841" s="2"/>
      <c r="T841" s="2"/>
      <c r="U841" s="2"/>
      <c r="V841" s="2"/>
      <c r="W841" s="2"/>
      <c r="X841" s="2"/>
    </row>
    <row r="842" ht="15.75" customHeight="1">
      <c r="R842" s="2"/>
      <c r="S842" s="2"/>
      <c r="T842" s="2"/>
      <c r="U842" s="2"/>
      <c r="V842" s="2"/>
      <c r="W842" s="2"/>
      <c r="X842" s="2"/>
    </row>
    <row r="843" ht="15.75" customHeight="1">
      <c r="R843" s="2"/>
      <c r="S843" s="2"/>
      <c r="T843" s="2"/>
      <c r="U843" s="2"/>
      <c r="V843" s="2"/>
      <c r="W843" s="2"/>
      <c r="X843" s="2"/>
    </row>
    <row r="844" ht="15.75" customHeight="1">
      <c r="R844" s="2"/>
      <c r="S844" s="2"/>
      <c r="T844" s="2"/>
      <c r="U844" s="2"/>
      <c r="V844" s="2"/>
      <c r="W844" s="2"/>
      <c r="X844" s="2"/>
    </row>
    <row r="845" ht="15.75" customHeight="1">
      <c r="R845" s="2"/>
      <c r="S845" s="2"/>
      <c r="T845" s="2"/>
      <c r="U845" s="2"/>
      <c r="V845" s="2"/>
      <c r="W845" s="2"/>
      <c r="X845" s="2"/>
    </row>
    <row r="846" ht="15.75" customHeight="1">
      <c r="R846" s="2"/>
      <c r="S846" s="2"/>
      <c r="T846" s="2"/>
      <c r="U846" s="2"/>
      <c r="V846" s="2"/>
      <c r="W846" s="2"/>
      <c r="X846" s="2"/>
    </row>
    <row r="847" ht="15.75" customHeight="1">
      <c r="R847" s="2"/>
      <c r="S847" s="2"/>
      <c r="T847" s="2"/>
      <c r="U847" s="2"/>
      <c r="V847" s="2"/>
      <c r="W847" s="2"/>
      <c r="X847" s="2"/>
    </row>
    <row r="848" ht="15.75" customHeight="1">
      <c r="R848" s="2"/>
      <c r="S848" s="2"/>
      <c r="T848" s="2"/>
      <c r="U848" s="2"/>
      <c r="V848" s="2"/>
      <c r="W848" s="2"/>
      <c r="X848" s="2"/>
    </row>
    <row r="849" ht="15.75" customHeight="1">
      <c r="R849" s="2"/>
      <c r="S849" s="2"/>
      <c r="T849" s="2"/>
      <c r="U849" s="2"/>
      <c r="V849" s="2"/>
      <c r="W849" s="2"/>
      <c r="X849" s="2"/>
    </row>
    <row r="850" ht="15.75" customHeight="1">
      <c r="R850" s="2"/>
      <c r="S850" s="2"/>
      <c r="T850" s="2"/>
      <c r="U850" s="2"/>
      <c r="V850" s="2"/>
      <c r="W850" s="2"/>
      <c r="X850" s="2"/>
    </row>
    <row r="851" ht="15.75" customHeight="1">
      <c r="R851" s="2"/>
      <c r="S851" s="2"/>
      <c r="T851" s="2"/>
      <c r="U851" s="2"/>
      <c r="V851" s="2"/>
      <c r="W851" s="2"/>
      <c r="X851" s="2"/>
    </row>
    <row r="852" ht="15.75" customHeight="1">
      <c r="R852" s="2"/>
      <c r="S852" s="2"/>
      <c r="T852" s="2"/>
      <c r="U852" s="2"/>
      <c r="V852" s="2"/>
      <c r="W852" s="2"/>
      <c r="X852" s="2"/>
    </row>
    <row r="853" ht="15.75" customHeight="1">
      <c r="R853" s="2"/>
      <c r="S853" s="2"/>
      <c r="T853" s="2"/>
      <c r="U853" s="2"/>
      <c r="V853" s="2"/>
      <c r="W853" s="2"/>
      <c r="X853" s="2"/>
    </row>
    <row r="854" ht="15.75" customHeight="1">
      <c r="R854" s="2"/>
      <c r="S854" s="2"/>
      <c r="T854" s="2"/>
      <c r="U854" s="2"/>
      <c r="V854" s="2"/>
      <c r="W854" s="2"/>
      <c r="X854" s="2"/>
    </row>
    <row r="855" ht="15.75" customHeight="1">
      <c r="R855" s="2"/>
      <c r="S855" s="2"/>
      <c r="T855" s="2"/>
      <c r="U855" s="2"/>
      <c r="V855" s="2"/>
      <c r="W855" s="2"/>
      <c r="X855" s="2"/>
    </row>
    <row r="856" ht="15.75" customHeight="1">
      <c r="R856" s="2"/>
      <c r="S856" s="2"/>
      <c r="T856" s="2"/>
      <c r="U856" s="2"/>
      <c r="V856" s="2"/>
      <c r="W856" s="2"/>
      <c r="X856" s="2"/>
    </row>
    <row r="857" ht="15.75" customHeight="1">
      <c r="R857" s="2"/>
      <c r="S857" s="2"/>
      <c r="T857" s="2"/>
      <c r="U857" s="2"/>
      <c r="V857" s="2"/>
      <c r="W857" s="2"/>
      <c r="X857" s="2"/>
    </row>
    <row r="858" ht="15.75" customHeight="1">
      <c r="R858" s="2"/>
      <c r="S858" s="2"/>
      <c r="T858" s="2"/>
      <c r="U858" s="2"/>
      <c r="V858" s="2"/>
      <c r="W858" s="2"/>
      <c r="X858" s="2"/>
    </row>
    <row r="859" ht="15.75" customHeight="1">
      <c r="R859" s="2"/>
      <c r="S859" s="2"/>
      <c r="T859" s="2"/>
      <c r="U859" s="2"/>
      <c r="V859" s="2"/>
      <c r="W859" s="2"/>
      <c r="X859" s="2"/>
    </row>
    <row r="860" ht="15.75" customHeight="1">
      <c r="R860" s="2"/>
      <c r="S860" s="2"/>
      <c r="T860" s="2"/>
      <c r="U860" s="2"/>
      <c r="V860" s="2"/>
      <c r="W860" s="2"/>
      <c r="X860" s="2"/>
    </row>
    <row r="861" ht="15.75" customHeight="1">
      <c r="R861" s="2"/>
      <c r="S861" s="2"/>
      <c r="T861" s="2"/>
      <c r="U861" s="2"/>
      <c r="V861" s="2"/>
      <c r="W861" s="2"/>
      <c r="X861" s="2"/>
    </row>
    <row r="862" ht="15.75" customHeight="1">
      <c r="R862" s="2"/>
      <c r="S862" s="2"/>
      <c r="T862" s="2"/>
      <c r="U862" s="2"/>
      <c r="V862" s="2"/>
      <c r="W862" s="2"/>
      <c r="X862" s="2"/>
    </row>
    <row r="863" ht="15.75" customHeight="1">
      <c r="R863" s="2"/>
      <c r="S863" s="2"/>
      <c r="T863" s="2"/>
      <c r="U863" s="2"/>
      <c r="V863" s="2"/>
      <c r="W863" s="2"/>
      <c r="X863" s="2"/>
    </row>
    <row r="864" ht="15.75" customHeight="1">
      <c r="R864" s="2"/>
      <c r="S864" s="2"/>
      <c r="T864" s="2"/>
      <c r="U864" s="2"/>
      <c r="V864" s="2"/>
      <c r="W864" s="2"/>
      <c r="X864" s="2"/>
    </row>
    <row r="865" ht="15.75" customHeight="1">
      <c r="R865" s="2"/>
      <c r="S865" s="2"/>
      <c r="T865" s="2"/>
      <c r="U865" s="2"/>
      <c r="V865" s="2"/>
      <c r="W865" s="2"/>
      <c r="X865" s="2"/>
    </row>
    <row r="866" ht="15.75" customHeight="1">
      <c r="R866" s="2"/>
      <c r="S866" s="2"/>
      <c r="T866" s="2"/>
      <c r="U866" s="2"/>
      <c r="V866" s="2"/>
      <c r="W866" s="2"/>
      <c r="X866" s="2"/>
    </row>
    <row r="867" ht="15.75" customHeight="1">
      <c r="R867" s="2"/>
      <c r="S867" s="2"/>
      <c r="T867" s="2"/>
      <c r="U867" s="2"/>
      <c r="V867" s="2"/>
      <c r="W867" s="2"/>
      <c r="X867" s="2"/>
    </row>
    <row r="868" ht="15.75" customHeight="1">
      <c r="R868" s="2"/>
      <c r="S868" s="2"/>
      <c r="T868" s="2"/>
      <c r="U868" s="2"/>
      <c r="V868" s="2"/>
      <c r="W868" s="2"/>
      <c r="X868" s="2"/>
    </row>
    <row r="869" ht="15.75" customHeight="1">
      <c r="R869" s="2"/>
      <c r="S869" s="2"/>
      <c r="T869" s="2"/>
      <c r="U869" s="2"/>
      <c r="V869" s="2"/>
      <c r="W869" s="2"/>
      <c r="X869" s="2"/>
    </row>
    <row r="870" ht="15.75" customHeight="1">
      <c r="R870" s="2"/>
      <c r="S870" s="2"/>
      <c r="T870" s="2"/>
      <c r="U870" s="2"/>
      <c r="V870" s="2"/>
      <c r="W870" s="2"/>
      <c r="X870" s="2"/>
    </row>
    <row r="871" ht="15.75" customHeight="1">
      <c r="R871" s="2"/>
      <c r="S871" s="2"/>
      <c r="T871" s="2"/>
      <c r="U871" s="2"/>
      <c r="V871" s="2"/>
      <c r="W871" s="2"/>
      <c r="X871" s="2"/>
    </row>
    <row r="872" ht="15.75" customHeight="1">
      <c r="R872" s="2"/>
      <c r="S872" s="2"/>
      <c r="T872" s="2"/>
      <c r="U872" s="2"/>
      <c r="V872" s="2"/>
      <c r="W872" s="2"/>
      <c r="X872" s="2"/>
    </row>
    <row r="873" ht="15.75" customHeight="1">
      <c r="R873" s="2"/>
      <c r="S873" s="2"/>
      <c r="T873" s="2"/>
      <c r="U873" s="2"/>
      <c r="V873" s="2"/>
      <c r="W873" s="2"/>
      <c r="X873" s="2"/>
    </row>
    <row r="874" ht="15.75" customHeight="1">
      <c r="R874" s="2"/>
      <c r="S874" s="2"/>
      <c r="T874" s="2"/>
      <c r="U874" s="2"/>
      <c r="V874" s="2"/>
      <c r="W874" s="2"/>
      <c r="X874" s="2"/>
    </row>
    <row r="875" ht="15.75" customHeight="1">
      <c r="R875" s="2"/>
      <c r="S875" s="2"/>
      <c r="T875" s="2"/>
      <c r="U875" s="2"/>
      <c r="V875" s="2"/>
      <c r="W875" s="2"/>
      <c r="X875" s="2"/>
    </row>
    <row r="876" ht="15.75" customHeight="1">
      <c r="R876" s="2"/>
      <c r="S876" s="2"/>
      <c r="T876" s="2"/>
      <c r="U876" s="2"/>
      <c r="V876" s="2"/>
      <c r="W876" s="2"/>
      <c r="X876" s="2"/>
    </row>
    <row r="877" ht="15.75" customHeight="1">
      <c r="R877" s="2"/>
      <c r="S877" s="2"/>
      <c r="T877" s="2"/>
      <c r="U877" s="2"/>
      <c r="V877" s="2"/>
      <c r="W877" s="2"/>
      <c r="X877" s="2"/>
    </row>
    <row r="878" ht="15.75" customHeight="1">
      <c r="R878" s="2"/>
      <c r="S878" s="2"/>
      <c r="T878" s="2"/>
      <c r="U878" s="2"/>
      <c r="V878" s="2"/>
      <c r="W878" s="2"/>
      <c r="X878" s="2"/>
    </row>
    <row r="879" ht="15.75" customHeight="1">
      <c r="R879" s="2"/>
      <c r="S879" s="2"/>
      <c r="T879" s="2"/>
      <c r="U879" s="2"/>
      <c r="V879" s="2"/>
      <c r="W879" s="2"/>
      <c r="X879" s="2"/>
    </row>
    <row r="880" ht="15.75" customHeight="1">
      <c r="R880" s="2"/>
      <c r="S880" s="2"/>
      <c r="T880" s="2"/>
      <c r="U880" s="2"/>
      <c r="V880" s="2"/>
      <c r="W880" s="2"/>
      <c r="X880" s="2"/>
    </row>
    <row r="881" ht="15.75" customHeight="1">
      <c r="R881" s="2"/>
      <c r="S881" s="2"/>
      <c r="T881" s="2"/>
      <c r="U881" s="2"/>
      <c r="V881" s="2"/>
      <c r="W881" s="2"/>
      <c r="X881" s="2"/>
    </row>
    <row r="882" ht="15.75" customHeight="1">
      <c r="R882" s="2"/>
      <c r="S882" s="2"/>
      <c r="T882" s="2"/>
      <c r="U882" s="2"/>
      <c r="V882" s="2"/>
      <c r="W882" s="2"/>
      <c r="X882" s="2"/>
    </row>
    <row r="883" ht="15.75" customHeight="1">
      <c r="R883" s="2"/>
      <c r="S883" s="2"/>
      <c r="T883" s="2"/>
      <c r="U883" s="2"/>
      <c r="V883" s="2"/>
      <c r="W883" s="2"/>
      <c r="X883" s="2"/>
    </row>
    <row r="884" ht="15.75" customHeight="1">
      <c r="R884" s="2"/>
      <c r="S884" s="2"/>
      <c r="T884" s="2"/>
      <c r="U884" s="2"/>
      <c r="V884" s="2"/>
      <c r="W884" s="2"/>
      <c r="X884" s="2"/>
    </row>
    <row r="885" ht="15.75" customHeight="1">
      <c r="R885" s="2"/>
      <c r="S885" s="2"/>
      <c r="T885" s="2"/>
      <c r="U885" s="2"/>
      <c r="V885" s="2"/>
      <c r="W885" s="2"/>
      <c r="X885" s="2"/>
    </row>
    <row r="886" ht="15.75" customHeight="1">
      <c r="R886" s="2"/>
      <c r="S886" s="2"/>
      <c r="T886" s="2"/>
      <c r="U886" s="2"/>
      <c r="V886" s="2"/>
      <c r="W886" s="2"/>
      <c r="X886" s="2"/>
    </row>
    <row r="887" ht="15.75" customHeight="1">
      <c r="R887" s="2"/>
      <c r="S887" s="2"/>
      <c r="T887" s="2"/>
      <c r="U887" s="2"/>
      <c r="V887" s="2"/>
      <c r="W887" s="2"/>
      <c r="X887" s="2"/>
    </row>
    <row r="888" ht="15.75" customHeight="1">
      <c r="R888" s="2"/>
      <c r="S888" s="2"/>
      <c r="T888" s="2"/>
      <c r="U888" s="2"/>
      <c r="V888" s="2"/>
      <c r="W888" s="2"/>
      <c r="X888" s="2"/>
    </row>
    <row r="889" ht="15.75" customHeight="1">
      <c r="R889" s="2"/>
      <c r="S889" s="2"/>
      <c r="T889" s="2"/>
      <c r="U889" s="2"/>
      <c r="V889" s="2"/>
      <c r="W889" s="2"/>
      <c r="X889" s="2"/>
    </row>
    <row r="890" ht="15.75" customHeight="1">
      <c r="R890" s="2"/>
      <c r="S890" s="2"/>
      <c r="T890" s="2"/>
      <c r="U890" s="2"/>
      <c r="V890" s="2"/>
      <c r="W890" s="2"/>
      <c r="X890" s="2"/>
    </row>
    <row r="891" ht="15.75" customHeight="1">
      <c r="R891" s="2"/>
      <c r="S891" s="2"/>
      <c r="T891" s="2"/>
      <c r="U891" s="2"/>
      <c r="V891" s="2"/>
      <c r="W891" s="2"/>
      <c r="X891" s="2"/>
    </row>
    <row r="892" ht="15.75" customHeight="1">
      <c r="R892" s="2"/>
      <c r="S892" s="2"/>
      <c r="T892" s="2"/>
      <c r="U892" s="2"/>
      <c r="V892" s="2"/>
      <c r="W892" s="2"/>
      <c r="X892" s="2"/>
    </row>
    <row r="893" ht="15.75" customHeight="1">
      <c r="R893" s="2"/>
      <c r="S893" s="2"/>
      <c r="T893" s="2"/>
      <c r="U893" s="2"/>
      <c r="V893" s="2"/>
      <c r="W893" s="2"/>
      <c r="X893" s="2"/>
    </row>
    <row r="894" ht="15.75" customHeight="1">
      <c r="R894" s="2"/>
      <c r="S894" s="2"/>
      <c r="T894" s="2"/>
      <c r="U894" s="2"/>
      <c r="V894" s="2"/>
      <c r="W894" s="2"/>
      <c r="X894" s="2"/>
    </row>
    <row r="895" ht="15.75" customHeight="1">
      <c r="R895" s="2"/>
      <c r="S895" s="2"/>
      <c r="T895" s="2"/>
      <c r="U895" s="2"/>
      <c r="V895" s="2"/>
      <c r="W895" s="2"/>
      <c r="X895" s="2"/>
    </row>
    <row r="896" ht="15.75" customHeight="1">
      <c r="R896" s="2"/>
      <c r="S896" s="2"/>
      <c r="T896" s="2"/>
      <c r="U896" s="2"/>
      <c r="V896" s="2"/>
      <c r="W896" s="2"/>
      <c r="X896" s="2"/>
    </row>
    <row r="897" ht="15.75" customHeight="1">
      <c r="R897" s="2"/>
      <c r="S897" s="2"/>
      <c r="T897" s="2"/>
      <c r="U897" s="2"/>
      <c r="V897" s="2"/>
      <c r="W897" s="2"/>
      <c r="X897" s="2"/>
    </row>
    <row r="898" ht="15.75" customHeight="1">
      <c r="R898" s="2"/>
      <c r="S898" s="2"/>
      <c r="T898" s="2"/>
      <c r="U898" s="2"/>
      <c r="V898" s="2"/>
      <c r="W898" s="2"/>
      <c r="X898" s="2"/>
    </row>
    <row r="899" ht="15.75" customHeight="1">
      <c r="R899" s="2"/>
      <c r="S899" s="2"/>
      <c r="T899" s="2"/>
      <c r="U899" s="2"/>
      <c r="V899" s="2"/>
      <c r="W899" s="2"/>
      <c r="X899" s="2"/>
    </row>
    <row r="900" ht="15.75" customHeight="1">
      <c r="R900" s="2"/>
      <c r="S900" s="2"/>
      <c r="T900" s="2"/>
      <c r="U900" s="2"/>
      <c r="V900" s="2"/>
      <c r="W900" s="2"/>
      <c r="X900" s="2"/>
    </row>
    <row r="901" ht="15.75" customHeight="1">
      <c r="R901" s="2"/>
      <c r="S901" s="2"/>
      <c r="T901" s="2"/>
      <c r="U901" s="2"/>
      <c r="V901" s="2"/>
      <c r="W901" s="2"/>
      <c r="X901" s="2"/>
    </row>
    <row r="902" ht="15.75" customHeight="1">
      <c r="R902" s="2"/>
      <c r="S902" s="2"/>
      <c r="T902" s="2"/>
      <c r="U902" s="2"/>
      <c r="V902" s="2"/>
      <c r="W902" s="2"/>
      <c r="X902" s="2"/>
    </row>
    <row r="903" ht="15.75" customHeight="1">
      <c r="R903" s="2"/>
      <c r="S903" s="2"/>
      <c r="T903" s="2"/>
      <c r="U903" s="2"/>
      <c r="V903" s="2"/>
      <c r="W903" s="2"/>
      <c r="X903" s="2"/>
    </row>
    <row r="904" ht="15.75" customHeight="1">
      <c r="R904" s="2"/>
      <c r="S904" s="2"/>
      <c r="T904" s="2"/>
      <c r="U904" s="2"/>
      <c r="V904" s="2"/>
      <c r="W904" s="2"/>
      <c r="X904" s="2"/>
    </row>
    <row r="905" ht="15.75" customHeight="1">
      <c r="R905" s="2"/>
      <c r="S905" s="2"/>
      <c r="T905" s="2"/>
      <c r="U905" s="2"/>
      <c r="V905" s="2"/>
      <c r="W905" s="2"/>
      <c r="X905" s="2"/>
    </row>
    <row r="906" ht="15.75" customHeight="1">
      <c r="R906" s="2"/>
      <c r="S906" s="2"/>
      <c r="T906" s="2"/>
      <c r="U906" s="2"/>
      <c r="V906" s="2"/>
      <c r="W906" s="2"/>
      <c r="X906" s="2"/>
    </row>
    <row r="907" ht="15.75" customHeight="1">
      <c r="R907" s="2"/>
      <c r="S907" s="2"/>
      <c r="T907" s="2"/>
      <c r="U907" s="2"/>
      <c r="V907" s="2"/>
      <c r="W907" s="2"/>
      <c r="X907" s="2"/>
    </row>
    <row r="908" ht="15.75" customHeight="1">
      <c r="R908" s="2"/>
      <c r="S908" s="2"/>
      <c r="T908" s="2"/>
      <c r="U908" s="2"/>
      <c r="V908" s="2"/>
      <c r="W908" s="2"/>
      <c r="X908" s="2"/>
    </row>
    <row r="909" ht="15.75" customHeight="1">
      <c r="R909" s="2"/>
      <c r="S909" s="2"/>
      <c r="T909" s="2"/>
      <c r="U909" s="2"/>
      <c r="V909" s="2"/>
      <c r="W909" s="2"/>
      <c r="X909" s="2"/>
    </row>
    <row r="910" ht="15.75" customHeight="1">
      <c r="R910" s="2"/>
      <c r="S910" s="2"/>
      <c r="T910" s="2"/>
      <c r="U910" s="2"/>
      <c r="V910" s="2"/>
      <c r="W910" s="2"/>
      <c r="X910" s="2"/>
    </row>
    <row r="911" ht="15.75" customHeight="1">
      <c r="R911" s="2"/>
      <c r="S911" s="2"/>
      <c r="T911" s="2"/>
      <c r="U911" s="2"/>
      <c r="V911" s="2"/>
      <c r="W911" s="2"/>
      <c r="X911" s="2"/>
    </row>
    <row r="912" ht="15.75" customHeight="1">
      <c r="R912" s="2"/>
      <c r="S912" s="2"/>
      <c r="T912" s="2"/>
      <c r="U912" s="2"/>
      <c r="V912" s="2"/>
      <c r="W912" s="2"/>
      <c r="X912" s="2"/>
    </row>
    <row r="913" ht="15.75" customHeight="1">
      <c r="R913" s="2"/>
      <c r="S913" s="2"/>
      <c r="T913" s="2"/>
      <c r="U913" s="2"/>
      <c r="V913" s="2"/>
      <c r="W913" s="2"/>
      <c r="X913" s="2"/>
    </row>
    <row r="914" ht="15.75" customHeight="1">
      <c r="R914" s="2"/>
      <c r="S914" s="2"/>
      <c r="T914" s="2"/>
      <c r="U914" s="2"/>
      <c r="V914" s="2"/>
      <c r="W914" s="2"/>
      <c r="X914" s="2"/>
    </row>
    <row r="915" ht="15.75" customHeight="1">
      <c r="R915" s="2"/>
      <c r="S915" s="2"/>
      <c r="T915" s="2"/>
      <c r="U915" s="2"/>
      <c r="V915" s="2"/>
      <c r="W915" s="2"/>
      <c r="X915" s="2"/>
    </row>
    <row r="916" ht="15.75" customHeight="1">
      <c r="R916" s="2"/>
      <c r="S916" s="2"/>
      <c r="T916" s="2"/>
      <c r="U916" s="2"/>
      <c r="V916" s="2"/>
      <c r="W916" s="2"/>
      <c r="X916" s="2"/>
    </row>
    <row r="917" ht="15.75" customHeight="1">
      <c r="R917" s="2"/>
      <c r="S917" s="2"/>
      <c r="T917" s="2"/>
      <c r="U917" s="2"/>
      <c r="V917" s="2"/>
      <c r="W917" s="2"/>
      <c r="X917" s="2"/>
    </row>
    <row r="918" ht="15.75" customHeight="1">
      <c r="R918" s="2"/>
      <c r="S918" s="2"/>
      <c r="T918" s="2"/>
      <c r="U918" s="2"/>
      <c r="V918" s="2"/>
      <c r="W918" s="2"/>
      <c r="X918" s="2"/>
    </row>
    <row r="919" ht="15.75" customHeight="1">
      <c r="R919" s="2"/>
      <c r="S919" s="2"/>
      <c r="T919" s="2"/>
      <c r="U919" s="2"/>
      <c r="V919" s="2"/>
      <c r="W919" s="2"/>
      <c r="X919" s="2"/>
    </row>
    <row r="920" ht="15.75" customHeight="1">
      <c r="R920" s="2"/>
      <c r="S920" s="2"/>
      <c r="T920" s="2"/>
      <c r="U920" s="2"/>
      <c r="V920" s="2"/>
      <c r="W920" s="2"/>
      <c r="X920" s="2"/>
    </row>
    <row r="921" ht="15.75" customHeight="1">
      <c r="R921" s="2"/>
      <c r="S921" s="2"/>
      <c r="T921" s="2"/>
      <c r="U921" s="2"/>
      <c r="V921" s="2"/>
      <c r="W921" s="2"/>
      <c r="X921" s="2"/>
    </row>
    <row r="922" ht="15.75" customHeight="1">
      <c r="R922" s="2"/>
      <c r="S922" s="2"/>
      <c r="T922" s="2"/>
      <c r="U922" s="2"/>
      <c r="V922" s="2"/>
      <c r="W922" s="2"/>
      <c r="X922" s="2"/>
    </row>
    <row r="923" ht="15.75" customHeight="1">
      <c r="R923" s="2"/>
      <c r="S923" s="2"/>
      <c r="T923" s="2"/>
      <c r="U923" s="2"/>
      <c r="V923" s="2"/>
      <c r="W923" s="2"/>
      <c r="X923" s="2"/>
    </row>
    <row r="924" ht="15.75" customHeight="1">
      <c r="R924" s="2"/>
      <c r="S924" s="2"/>
      <c r="T924" s="2"/>
      <c r="U924" s="2"/>
      <c r="V924" s="2"/>
      <c r="W924" s="2"/>
      <c r="X924" s="2"/>
    </row>
    <row r="925" ht="15.75" customHeight="1">
      <c r="R925" s="2"/>
      <c r="S925" s="2"/>
      <c r="T925" s="2"/>
      <c r="U925" s="2"/>
      <c r="V925" s="2"/>
      <c r="W925" s="2"/>
      <c r="X925" s="2"/>
    </row>
    <row r="926" ht="15.75" customHeight="1">
      <c r="R926" s="2"/>
      <c r="S926" s="2"/>
      <c r="T926" s="2"/>
      <c r="U926" s="2"/>
      <c r="V926" s="2"/>
      <c r="W926" s="2"/>
      <c r="X926" s="2"/>
    </row>
    <row r="927" ht="15.75" customHeight="1">
      <c r="R927" s="2"/>
      <c r="S927" s="2"/>
      <c r="T927" s="2"/>
      <c r="U927" s="2"/>
      <c r="V927" s="2"/>
      <c r="W927" s="2"/>
      <c r="X927" s="2"/>
    </row>
    <row r="928" ht="15.75" customHeight="1">
      <c r="R928" s="2"/>
      <c r="S928" s="2"/>
      <c r="T928" s="2"/>
      <c r="U928" s="2"/>
      <c r="V928" s="2"/>
      <c r="W928" s="2"/>
      <c r="X928" s="2"/>
    </row>
    <row r="929" ht="15.75" customHeight="1">
      <c r="R929" s="2"/>
      <c r="S929" s="2"/>
      <c r="T929" s="2"/>
      <c r="U929" s="2"/>
      <c r="V929" s="2"/>
      <c r="W929" s="2"/>
      <c r="X929" s="2"/>
    </row>
    <row r="930" ht="15.75" customHeight="1">
      <c r="R930" s="2"/>
      <c r="S930" s="2"/>
      <c r="T930" s="2"/>
      <c r="U930" s="2"/>
      <c r="V930" s="2"/>
      <c r="W930" s="2"/>
      <c r="X930" s="2"/>
    </row>
    <row r="931" ht="15.75" customHeight="1">
      <c r="R931" s="2"/>
      <c r="S931" s="2"/>
      <c r="T931" s="2"/>
      <c r="U931" s="2"/>
      <c r="V931" s="2"/>
      <c r="W931" s="2"/>
      <c r="X931" s="2"/>
    </row>
    <row r="932" ht="15.75" customHeight="1">
      <c r="R932" s="2"/>
      <c r="S932" s="2"/>
      <c r="T932" s="2"/>
      <c r="U932" s="2"/>
      <c r="V932" s="2"/>
      <c r="W932" s="2"/>
      <c r="X932" s="2"/>
    </row>
    <row r="933" ht="15.75" customHeight="1">
      <c r="R933" s="2"/>
      <c r="S933" s="2"/>
      <c r="T933" s="2"/>
      <c r="U933" s="2"/>
      <c r="V933" s="2"/>
      <c r="W933" s="2"/>
      <c r="X933" s="2"/>
    </row>
    <row r="934" ht="15.75" customHeight="1">
      <c r="R934" s="2"/>
      <c r="S934" s="2"/>
      <c r="T934" s="2"/>
      <c r="U934" s="2"/>
      <c r="V934" s="2"/>
      <c r="W934" s="2"/>
      <c r="X934" s="2"/>
    </row>
    <row r="935" ht="15.75" customHeight="1">
      <c r="R935" s="2"/>
      <c r="S935" s="2"/>
      <c r="T935" s="2"/>
      <c r="U935" s="2"/>
      <c r="V935" s="2"/>
      <c r="W935" s="2"/>
      <c r="X935" s="2"/>
    </row>
    <row r="936" ht="15.75" customHeight="1">
      <c r="R936" s="2"/>
      <c r="S936" s="2"/>
      <c r="T936" s="2"/>
      <c r="U936" s="2"/>
      <c r="V936" s="2"/>
      <c r="W936" s="2"/>
      <c r="X936" s="2"/>
    </row>
    <row r="937" ht="15.75" customHeight="1">
      <c r="R937" s="2"/>
      <c r="S937" s="2"/>
      <c r="T937" s="2"/>
      <c r="U937" s="2"/>
      <c r="V937" s="2"/>
      <c r="W937" s="2"/>
      <c r="X937" s="2"/>
    </row>
    <row r="938" ht="15.75" customHeight="1">
      <c r="R938" s="2"/>
      <c r="S938" s="2"/>
      <c r="T938" s="2"/>
      <c r="U938" s="2"/>
      <c r="V938" s="2"/>
      <c r="W938" s="2"/>
      <c r="X938" s="2"/>
    </row>
    <row r="939" ht="15.75" customHeight="1">
      <c r="R939" s="2"/>
      <c r="S939" s="2"/>
      <c r="T939" s="2"/>
      <c r="U939" s="2"/>
      <c r="V939" s="2"/>
      <c r="W939" s="2"/>
      <c r="X939" s="2"/>
    </row>
    <row r="940" ht="15.75" customHeight="1">
      <c r="R940" s="2"/>
      <c r="S940" s="2"/>
      <c r="T940" s="2"/>
      <c r="U940" s="2"/>
      <c r="V940" s="2"/>
      <c r="W940" s="2"/>
      <c r="X940" s="2"/>
    </row>
    <row r="941" ht="15.75" customHeight="1">
      <c r="R941" s="2"/>
      <c r="S941" s="2"/>
      <c r="T941" s="2"/>
      <c r="U941" s="2"/>
      <c r="V941" s="2"/>
      <c r="W941" s="2"/>
      <c r="X941" s="2"/>
    </row>
    <row r="942" ht="15.75" customHeight="1">
      <c r="R942" s="2"/>
      <c r="S942" s="2"/>
      <c r="T942" s="2"/>
      <c r="U942" s="2"/>
      <c r="V942" s="2"/>
      <c r="W942" s="2"/>
      <c r="X942" s="2"/>
    </row>
    <row r="943" ht="15.75" customHeight="1">
      <c r="R943" s="2"/>
      <c r="S943" s="2"/>
      <c r="T943" s="2"/>
      <c r="U943" s="2"/>
      <c r="V943" s="2"/>
      <c r="W943" s="2"/>
      <c r="X943" s="2"/>
    </row>
    <row r="944" ht="15.75" customHeight="1">
      <c r="R944" s="2"/>
      <c r="S944" s="2"/>
      <c r="T944" s="2"/>
      <c r="U944" s="2"/>
      <c r="V944" s="2"/>
      <c r="W944" s="2"/>
      <c r="X944" s="2"/>
    </row>
    <row r="945" ht="15.75" customHeight="1">
      <c r="R945" s="2"/>
      <c r="S945" s="2"/>
      <c r="T945" s="2"/>
      <c r="U945" s="2"/>
      <c r="V945" s="2"/>
      <c r="W945" s="2"/>
      <c r="X945" s="2"/>
    </row>
    <row r="946" ht="15.75" customHeight="1">
      <c r="R946" s="2"/>
      <c r="S946" s="2"/>
      <c r="T946" s="2"/>
      <c r="U946" s="2"/>
      <c r="V946" s="2"/>
      <c r="W946" s="2"/>
      <c r="X946" s="2"/>
    </row>
    <row r="947" ht="15.75" customHeight="1">
      <c r="R947" s="2"/>
      <c r="S947" s="2"/>
      <c r="T947" s="2"/>
      <c r="U947" s="2"/>
      <c r="V947" s="2"/>
      <c r="W947" s="2"/>
      <c r="X947" s="2"/>
    </row>
    <row r="948" ht="15.75" customHeight="1">
      <c r="R948" s="2"/>
      <c r="S948" s="2"/>
      <c r="T948" s="2"/>
      <c r="U948" s="2"/>
      <c r="V948" s="2"/>
      <c r="W948" s="2"/>
      <c r="X948" s="2"/>
    </row>
    <row r="949" ht="15.75" customHeight="1">
      <c r="R949" s="2"/>
      <c r="S949" s="2"/>
      <c r="T949" s="2"/>
      <c r="U949" s="2"/>
      <c r="V949" s="2"/>
      <c r="W949" s="2"/>
      <c r="X949" s="2"/>
    </row>
    <row r="950" ht="15.75" customHeight="1">
      <c r="R950" s="2"/>
      <c r="S950" s="2"/>
      <c r="T950" s="2"/>
      <c r="U950" s="2"/>
      <c r="V950" s="2"/>
      <c r="W950" s="2"/>
      <c r="X950" s="2"/>
    </row>
    <row r="951" ht="15.75" customHeight="1">
      <c r="R951" s="2"/>
      <c r="S951" s="2"/>
      <c r="T951" s="2"/>
      <c r="U951" s="2"/>
      <c r="V951" s="2"/>
      <c r="W951" s="2"/>
      <c r="X951" s="2"/>
    </row>
    <row r="952" ht="15.75" customHeight="1">
      <c r="R952" s="2"/>
      <c r="S952" s="2"/>
      <c r="T952" s="2"/>
      <c r="U952" s="2"/>
      <c r="V952" s="2"/>
      <c r="W952" s="2"/>
      <c r="X952" s="2"/>
    </row>
    <row r="953" ht="15.75" customHeight="1">
      <c r="R953" s="2"/>
      <c r="S953" s="2"/>
      <c r="T953" s="2"/>
      <c r="U953" s="2"/>
      <c r="V953" s="2"/>
      <c r="W953" s="2"/>
      <c r="X953" s="2"/>
    </row>
    <row r="954" ht="15.75" customHeight="1">
      <c r="R954" s="2"/>
      <c r="S954" s="2"/>
      <c r="T954" s="2"/>
      <c r="U954" s="2"/>
      <c r="V954" s="2"/>
      <c r="W954" s="2"/>
      <c r="X954" s="2"/>
    </row>
    <row r="955" ht="15.75" customHeight="1">
      <c r="R955" s="2"/>
      <c r="S955" s="2"/>
      <c r="T955" s="2"/>
      <c r="U955" s="2"/>
      <c r="V955" s="2"/>
      <c r="W955" s="2"/>
      <c r="X955" s="2"/>
    </row>
    <row r="956" ht="15.75" customHeight="1">
      <c r="R956" s="2"/>
      <c r="S956" s="2"/>
      <c r="T956" s="2"/>
      <c r="U956" s="2"/>
      <c r="V956" s="2"/>
      <c r="W956" s="2"/>
      <c r="X956" s="2"/>
    </row>
    <row r="957" ht="15.75" customHeight="1">
      <c r="R957" s="2"/>
      <c r="S957" s="2"/>
      <c r="T957" s="2"/>
      <c r="U957" s="2"/>
      <c r="V957" s="2"/>
      <c r="W957" s="2"/>
      <c r="X957" s="2"/>
    </row>
    <row r="958" ht="15.75" customHeight="1">
      <c r="R958" s="2"/>
      <c r="S958" s="2"/>
      <c r="T958" s="2"/>
      <c r="U958" s="2"/>
      <c r="V958" s="2"/>
      <c r="W958" s="2"/>
      <c r="X958" s="2"/>
    </row>
    <row r="959" ht="15.75" customHeight="1">
      <c r="R959" s="2"/>
      <c r="S959" s="2"/>
      <c r="T959" s="2"/>
      <c r="U959" s="2"/>
      <c r="V959" s="2"/>
      <c r="W959" s="2"/>
      <c r="X959" s="2"/>
    </row>
    <row r="960" ht="15.75" customHeight="1">
      <c r="R960" s="2"/>
      <c r="S960" s="2"/>
      <c r="T960" s="2"/>
      <c r="U960" s="2"/>
      <c r="V960" s="2"/>
      <c r="W960" s="2"/>
      <c r="X960" s="2"/>
    </row>
    <row r="961" ht="15.75" customHeight="1">
      <c r="R961" s="2"/>
      <c r="S961" s="2"/>
      <c r="T961" s="2"/>
      <c r="U961" s="2"/>
      <c r="V961" s="2"/>
      <c r="W961" s="2"/>
      <c r="X961" s="2"/>
    </row>
    <row r="962" ht="15.75" customHeight="1">
      <c r="R962" s="2"/>
      <c r="S962" s="2"/>
      <c r="T962" s="2"/>
      <c r="U962" s="2"/>
      <c r="V962" s="2"/>
      <c r="W962" s="2"/>
      <c r="X962" s="2"/>
    </row>
    <row r="963" ht="15.75" customHeight="1">
      <c r="R963" s="2"/>
      <c r="S963" s="2"/>
      <c r="T963" s="2"/>
      <c r="U963" s="2"/>
      <c r="V963" s="2"/>
      <c r="W963" s="2"/>
      <c r="X963" s="2"/>
    </row>
    <row r="964" ht="15.75" customHeight="1">
      <c r="R964" s="2"/>
      <c r="S964" s="2"/>
      <c r="T964" s="2"/>
      <c r="U964" s="2"/>
      <c r="V964" s="2"/>
      <c r="W964" s="2"/>
      <c r="X964" s="2"/>
    </row>
    <row r="965" ht="15.75" customHeight="1">
      <c r="R965" s="2"/>
      <c r="S965" s="2"/>
      <c r="T965" s="2"/>
      <c r="U965" s="2"/>
      <c r="V965" s="2"/>
      <c r="W965" s="2"/>
      <c r="X965" s="2"/>
    </row>
    <row r="966" ht="15.75" customHeight="1">
      <c r="R966" s="2"/>
      <c r="S966" s="2"/>
      <c r="T966" s="2"/>
      <c r="U966" s="2"/>
      <c r="V966" s="2"/>
      <c r="W966" s="2"/>
      <c r="X966" s="2"/>
    </row>
    <row r="967" ht="15.75" customHeight="1">
      <c r="R967" s="2"/>
      <c r="S967" s="2"/>
      <c r="T967" s="2"/>
      <c r="U967" s="2"/>
      <c r="V967" s="2"/>
      <c r="W967" s="2"/>
      <c r="X967" s="2"/>
    </row>
    <row r="968" ht="15.75" customHeight="1">
      <c r="R968" s="2"/>
      <c r="S968" s="2"/>
      <c r="T968" s="2"/>
      <c r="U968" s="2"/>
      <c r="V968" s="2"/>
      <c r="W968" s="2"/>
      <c r="X968" s="2"/>
    </row>
    <row r="969" ht="15.75" customHeight="1">
      <c r="R969" s="2"/>
      <c r="S969" s="2"/>
      <c r="T969" s="2"/>
      <c r="U969" s="2"/>
      <c r="V969" s="2"/>
      <c r="W969" s="2"/>
      <c r="X969" s="2"/>
    </row>
    <row r="970" ht="15.75" customHeight="1">
      <c r="R970" s="2"/>
      <c r="S970" s="2"/>
      <c r="T970" s="2"/>
      <c r="U970" s="2"/>
      <c r="V970" s="2"/>
      <c r="W970" s="2"/>
      <c r="X970" s="2"/>
    </row>
    <row r="971" ht="15.75" customHeight="1">
      <c r="R971" s="2"/>
      <c r="S971" s="2"/>
      <c r="T971" s="2"/>
      <c r="U971" s="2"/>
      <c r="V971" s="2"/>
      <c r="W971" s="2"/>
      <c r="X971" s="2"/>
    </row>
    <row r="972" ht="15.75" customHeight="1">
      <c r="R972" s="2"/>
      <c r="S972" s="2"/>
      <c r="T972" s="2"/>
      <c r="U972" s="2"/>
      <c r="V972" s="2"/>
      <c r="W972" s="2"/>
      <c r="X972" s="2"/>
    </row>
    <row r="973" ht="15.75" customHeight="1">
      <c r="R973" s="2"/>
      <c r="S973" s="2"/>
      <c r="T973" s="2"/>
      <c r="U973" s="2"/>
      <c r="V973" s="2"/>
      <c r="W973" s="2"/>
      <c r="X973" s="2"/>
    </row>
    <row r="974" ht="15.75" customHeight="1">
      <c r="R974" s="2"/>
      <c r="S974" s="2"/>
      <c r="T974" s="2"/>
      <c r="U974" s="2"/>
      <c r="V974" s="2"/>
      <c r="W974" s="2"/>
      <c r="X974" s="2"/>
    </row>
    <row r="975" ht="15.75" customHeight="1">
      <c r="R975" s="2"/>
      <c r="S975" s="2"/>
      <c r="T975" s="2"/>
      <c r="U975" s="2"/>
      <c r="V975" s="2"/>
      <c r="W975" s="2"/>
      <c r="X975" s="2"/>
    </row>
    <row r="976" ht="15.75" customHeight="1">
      <c r="R976" s="2"/>
      <c r="S976" s="2"/>
      <c r="T976" s="2"/>
      <c r="U976" s="2"/>
      <c r="V976" s="2"/>
      <c r="W976" s="2"/>
      <c r="X976" s="2"/>
    </row>
    <row r="977" ht="15.75" customHeight="1">
      <c r="R977" s="2"/>
      <c r="S977" s="2"/>
      <c r="T977" s="2"/>
      <c r="U977" s="2"/>
      <c r="V977" s="2"/>
      <c r="W977" s="2"/>
      <c r="X977" s="2"/>
    </row>
    <row r="978" ht="15.75" customHeight="1">
      <c r="R978" s="2"/>
      <c r="S978" s="2"/>
      <c r="T978" s="2"/>
      <c r="U978" s="2"/>
      <c r="V978" s="2"/>
      <c r="W978" s="2"/>
      <c r="X978" s="2"/>
    </row>
    <row r="979" ht="15.75" customHeight="1">
      <c r="R979" s="2"/>
      <c r="S979" s="2"/>
      <c r="T979" s="2"/>
      <c r="U979" s="2"/>
      <c r="V979" s="2"/>
      <c r="W979" s="2"/>
      <c r="X979" s="2"/>
    </row>
    <row r="980" ht="15.75" customHeight="1">
      <c r="R980" s="2"/>
      <c r="S980" s="2"/>
      <c r="T980" s="2"/>
      <c r="U980" s="2"/>
      <c r="V980" s="2"/>
      <c r="W980" s="2"/>
      <c r="X980" s="2"/>
    </row>
    <row r="981" ht="15.75" customHeight="1">
      <c r="R981" s="2"/>
      <c r="S981" s="2"/>
      <c r="T981" s="2"/>
      <c r="U981" s="2"/>
      <c r="V981" s="2"/>
      <c r="W981" s="2"/>
      <c r="X981" s="2"/>
    </row>
    <row r="982" ht="15.75" customHeight="1">
      <c r="R982" s="2"/>
      <c r="S982" s="2"/>
      <c r="T982" s="2"/>
      <c r="U982" s="2"/>
      <c r="V982" s="2"/>
      <c r="W982" s="2"/>
      <c r="X982" s="2"/>
    </row>
    <row r="983" ht="15.75" customHeight="1">
      <c r="R983" s="2"/>
      <c r="S983" s="2"/>
      <c r="T983" s="2"/>
      <c r="U983" s="2"/>
      <c r="V983" s="2"/>
      <c r="W983" s="2"/>
      <c r="X983" s="2"/>
    </row>
    <row r="984" ht="15.75" customHeight="1">
      <c r="R984" s="2"/>
      <c r="S984" s="2"/>
      <c r="T984" s="2"/>
      <c r="U984" s="2"/>
      <c r="V984" s="2"/>
      <c r="W984" s="2"/>
      <c r="X984" s="2"/>
    </row>
    <row r="985" ht="15.75" customHeight="1">
      <c r="R985" s="2"/>
      <c r="S985" s="2"/>
      <c r="T985" s="2"/>
      <c r="U985" s="2"/>
      <c r="V985" s="2"/>
      <c r="W985" s="2"/>
      <c r="X985" s="2"/>
    </row>
    <row r="986" ht="15.75" customHeight="1">
      <c r="R986" s="2"/>
      <c r="S986" s="2"/>
      <c r="T986" s="2"/>
      <c r="U986" s="2"/>
      <c r="V986" s="2"/>
      <c r="W986" s="2"/>
      <c r="X986" s="2"/>
    </row>
    <row r="987" ht="15.75" customHeight="1">
      <c r="R987" s="2"/>
      <c r="S987" s="2"/>
      <c r="T987" s="2"/>
      <c r="U987" s="2"/>
      <c r="V987" s="2"/>
      <c r="W987" s="2"/>
      <c r="X987" s="2"/>
    </row>
    <row r="988" ht="15.75" customHeight="1">
      <c r="R988" s="2"/>
      <c r="S988" s="2"/>
      <c r="T988" s="2"/>
      <c r="U988" s="2"/>
      <c r="V988" s="2"/>
      <c r="W988" s="2"/>
      <c r="X988" s="2"/>
    </row>
    <row r="989" ht="15.75" customHeight="1">
      <c r="R989" s="2"/>
      <c r="S989" s="2"/>
      <c r="T989" s="2"/>
      <c r="U989" s="2"/>
      <c r="V989" s="2"/>
      <c r="W989" s="2"/>
      <c r="X989" s="2"/>
    </row>
    <row r="990" ht="15.75" customHeight="1">
      <c r="R990" s="2"/>
      <c r="S990" s="2"/>
      <c r="T990" s="2"/>
      <c r="U990" s="2"/>
      <c r="V990" s="2"/>
      <c r="W990" s="2"/>
      <c r="X990" s="2"/>
    </row>
    <row r="991" ht="15.75" customHeight="1">
      <c r="R991" s="2"/>
      <c r="S991" s="2"/>
      <c r="T991" s="2"/>
      <c r="U991" s="2"/>
      <c r="V991" s="2"/>
      <c r="W991" s="2"/>
      <c r="X991" s="2"/>
    </row>
    <row r="992" ht="15.75" customHeight="1">
      <c r="R992" s="2"/>
      <c r="S992" s="2"/>
      <c r="T992" s="2"/>
      <c r="U992" s="2"/>
      <c r="V992" s="2"/>
      <c r="W992" s="2"/>
      <c r="X992" s="2"/>
    </row>
    <row r="993" ht="15.75" customHeight="1">
      <c r="R993" s="2"/>
      <c r="S993" s="2"/>
      <c r="T993" s="2"/>
      <c r="U993" s="2"/>
      <c r="V993" s="2"/>
      <c r="W993" s="2"/>
      <c r="X993" s="2"/>
    </row>
    <row r="994" ht="15.75" customHeight="1">
      <c r="R994" s="2"/>
      <c r="S994" s="2"/>
      <c r="T994" s="2"/>
      <c r="U994" s="2"/>
      <c r="V994" s="2"/>
      <c r="W994" s="2"/>
      <c r="X994" s="2"/>
    </row>
    <row r="995" ht="15.75" customHeight="1">
      <c r="R995" s="2"/>
      <c r="S995" s="2"/>
      <c r="T995" s="2"/>
      <c r="U995" s="2"/>
      <c r="V995" s="2"/>
      <c r="W995" s="2"/>
      <c r="X995" s="2"/>
    </row>
    <row r="996" ht="15.75" customHeight="1">
      <c r="R996" s="2"/>
      <c r="S996" s="2"/>
      <c r="T996" s="2"/>
      <c r="U996" s="2"/>
      <c r="V996" s="2"/>
      <c r="W996" s="2"/>
      <c r="X996" s="2"/>
    </row>
    <row r="997" ht="15.75" customHeight="1">
      <c r="R997" s="2"/>
      <c r="S997" s="2"/>
      <c r="T997" s="2"/>
      <c r="U997" s="2"/>
      <c r="V997" s="2"/>
      <c r="W997" s="2"/>
      <c r="X997" s="2"/>
    </row>
    <row r="998" ht="15.75" customHeight="1">
      <c r="R998" s="2"/>
      <c r="S998" s="2"/>
      <c r="T998" s="2"/>
      <c r="U998" s="2"/>
      <c r="V998" s="2"/>
      <c r="W998" s="2"/>
      <c r="X998" s="2"/>
    </row>
    <row r="999" ht="15.75" customHeight="1">
      <c r="R999" s="2"/>
      <c r="S999" s="2"/>
      <c r="T999" s="2"/>
      <c r="U999" s="2"/>
      <c r="V999" s="2"/>
      <c r="W999" s="2"/>
      <c r="X999" s="2"/>
    </row>
    <row r="1000" ht="15.75" customHeight="1">
      <c r="R1000" s="2"/>
      <c r="S1000" s="2"/>
      <c r="T1000" s="2"/>
      <c r="U1000" s="2"/>
      <c r="V1000" s="2"/>
      <c r="W1000" s="2"/>
      <c r="X1000" s="2"/>
    </row>
    <row r="1001" ht="15.75" customHeight="1">
      <c r="R1001" s="2"/>
      <c r="S1001" s="2"/>
      <c r="T1001" s="2"/>
      <c r="U1001" s="2"/>
      <c r="V1001" s="2"/>
      <c r="W1001" s="2"/>
      <c r="X1001" s="2"/>
    </row>
    <row r="1002" ht="15.75" customHeight="1">
      <c r="R1002" s="2"/>
      <c r="S1002" s="2"/>
      <c r="T1002" s="2"/>
      <c r="U1002" s="2"/>
      <c r="V1002" s="2"/>
      <c r="W1002" s="2"/>
      <c r="X1002" s="2"/>
    </row>
    <row r="1003" ht="15.75" customHeight="1">
      <c r="R1003" s="2"/>
      <c r="S1003" s="2"/>
      <c r="T1003" s="2"/>
      <c r="U1003" s="2"/>
      <c r="V1003" s="2"/>
      <c r="W1003" s="2"/>
      <c r="X1003" s="2"/>
    </row>
    <row r="1004" ht="15.75" customHeight="1">
      <c r="R1004" s="2"/>
      <c r="S1004" s="2"/>
      <c r="T1004" s="2"/>
      <c r="U1004" s="2"/>
      <c r="V1004" s="2"/>
      <c r="W1004" s="2"/>
      <c r="X1004" s="2"/>
    </row>
    <row r="1005" ht="15.75" customHeight="1">
      <c r="R1005" s="2"/>
      <c r="S1005" s="2"/>
      <c r="T1005" s="2"/>
      <c r="U1005" s="2"/>
      <c r="V1005" s="2"/>
      <c r="W1005" s="2"/>
      <c r="X1005" s="2"/>
    </row>
    <row r="1006" ht="15.75" customHeight="1">
      <c r="R1006" s="2"/>
      <c r="S1006" s="2"/>
      <c r="T1006" s="2"/>
      <c r="U1006" s="2"/>
      <c r="V1006" s="2"/>
      <c r="W1006" s="2"/>
      <c r="X1006" s="2"/>
    </row>
    <row r="1007" ht="15.75" customHeight="1">
      <c r="R1007" s="2"/>
      <c r="S1007" s="2"/>
      <c r="T1007" s="2"/>
      <c r="U1007" s="2"/>
      <c r="V1007" s="2"/>
      <c r="W1007" s="2"/>
      <c r="X1007" s="2"/>
    </row>
    <row r="1008" ht="15.75" customHeight="1">
      <c r="R1008" s="2"/>
      <c r="S1008" s="2"/>
      <c r="T1008" s="2"/>
      <c r="U1008" s="2"/>
      <c r="V1008" s="2"/>
      <c r="W1008" s="2"/>
      <c r="X1008" s="2"/>
    </row>
    <row r="1009" ht="15.75" customHeight="1">
      <c r="R1009" s="2"/>
      <c r="S1009" s="2"/>
      <c r="T1009" s="2"/>
      <c r="U1009" s="2"/>
      <c r="V1009" s="2"/>
      <c r="W1009" s="2"/>
      <c r="X1009" s="2"/>
    </row>
    <row r="1010" ht="15.75" customHeight="1">
      <c r="R1010" s="2"/>
      <c r="S1010" s="2"/>
      <c r="T1010" s="2"/>
      <c r="U1010" s="2"/>
      <c r="V1010" s="2"/>
      <c r="W1010" s="2"/>
      <c r="X1010" s="2"/>
    </row>
  </sheetData>
  <mergeCells count="45">
    <mergeCell ref="N60:O60"/>
    <mergeCell ref="N70:O70"/>
    <mergeCell ref="M51:N51"/>
    <mergeCell ref="L52:N52"/>
    <mergeCell ref="F59:G59"/>
    <mergeCell ref="N59:O59"/>
    <mergeCell ref="F60:G60"/>
    <mergeCell ref="D63:F63"/>
    <mergeCell ref="L63:N63"/>
    <mergeCell ref="B10:C10"/>
    <mergeCell ref="D10:P10"/>
    <mergeCell ref="D12:F12"/>
    <mergeCell ref="L12:N12"/>
    <mergeCell ref="M19:N19"/>
    <mergeCell ref="D21:F21"/>
    <mergeCell ref="L21:N21"/>
    <mergeCell ref="W34:W36"/>
    <mergeCell ref="X34:X36"/>
    <mergeCell ref="M20:N20"/>
    <mergeCell ref="N28:O28"/>
    <mergeCell ref="E29:F29"/>
    <mergeCell ref="N29:O29"/>
    <mergeCell ref="E30:F30"/>
    <mergeCell ref="D32:F32"/>
    <mergeCell ref="L32:N32"/>
    <mergeCell ref="F39:G39"/>
    <mergeCell ref="N39:O39"/>
    <mergeCell ref="F40:G40"/>
    <mergeCell ref="N40:O40"/>
    <mergeCell ref="D42:F42"/>
    <mergeCell ref="L42:N42"/>
    <mergeCell ref="S42:X42"/>
    <mergeCell ref="S48:X50"/>
    <mergeCell ref="S51:X57"/>
    <mergeCell ref="S58:X62"/>
    <mergeCell ref="S43:X43"/>
    <mergeCell ref="S44:X45"/>
    <mergeCell ref="S46:X47"/>
    <mergeCell ref="F49:G49"/>
    <mergeCell ref="F50:G50"/>
    <mergeCell ref="M50:N50"/>
    <mergeCell ref="D52:F52"/>
    <mergeCell ref="F71:G71"/>
    <mergeCell ref="N71:O71"/>
    <mergeCell ref="F72:G72"/>
  </mergeCells>
  <conditionalFormatting sqref="U32">
    <cfRule type="cellIs" dxfId="0" priority="1" operator="equal">
      <formula>"400:00:00"</formula>
    </cfRule>
  </conditionalFormatting>
  <conditionalFormatting sqref="U36">
    <cfRule type="cellIs" dxfId="1" priority="2" operator="equal">
      <formula>"1200:00:00.000"</formula>
    </cfRule>
  </conditionalFormatting>
  <conditionalFormatting sqref="U36">
    <cfRule type="cellIs" dxfId="2" priority="3" operator="notEqual">
      <formula>"1200:00:00.000"</formula>
    </cfRule>
  </conditionalFormatting>
  <conditionalFormatting sqref="U34">
    <cfRule type="cellIs" dxfId="1" priority="4" operator="equal">
      <formula>"800:00:00.000"</formula>
    </cfRule>
  </conditionalFormatting>
  <conditionalFormatting sqref="U34">
    <cfRule type="cellIs" dxfId="3" priority="5" operator="notEqual">
      <formula>"800:00:00"</formula>
    </cfRule>
  </conditionalFormatting>
  <printOptions horizontalCentered="1"/>
  <pageMargins bottom="0.5" footer="0.0" header="0.0" left="0.5" right="0.5" top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8" width="6.71"/>
    <col customWidth="1" min="9" max="9" width="4.71"/>
    <col customWidth="1" min="10" max="16" width="6.71"/>
    <col customWidth="1" min="17" max="17" width="3.86"/>
    <col customWidth="1" min="18" max="18" width="8.71"/>
    <col customWidth="1" min="19" max="19" width="5.86"/>
    <col customWidth="1" min="20" max="20" width="17.14"/>
    <col customWidth="1" min="21" max="21" width="9.43"/>
    <col customWidth="1" min="22" max="22" width="8.14"/>
    <col customWidth="1" min="23" max="23" width="16.71"/>
    <col customWidth="1" min="24" max="24" width="19.29"/>
    <col customWidth="1" min="25" max="31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2"/>
      <c r="S1" s="2"/>
      <c r="T1" s="2"/>
      <c r="U1" s="2"/>
      <c r="V1" s="2"/>
      <c r="W1" s="2"/>
      <c r="X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2"/>
      <c r="S2" s="2"/>
      <c r="T2" s="2"/>
      <c r="U2" s="2"/>
      <c r="V2" s="2"/>
      <c r="W2" s="2"/>
      <c r="X2" s="2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2"/>
      <c r="S3" s="2"/>
      <c r="T3" s="2"/>
      <c r="U3" s="2"/>
      <c r="V3" s="2"/>
      <c r="W3" s="2"/>
      <c r="X3" s="2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2"/>
      <c r="S4" s="2"/>
      <c r="T4" s="2"/>
      <c r="U4" s="2"/>
      <c r="V4" s="2"/>
      <c r="W4" s="2"/>
      <c r="X4" s="2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2"/>
      <c r="S5" s="2"/>
      <c r="T5" s="2"/>
      <c r="U5" s="2"/>
      <c r="V5" s="2"/>
      <c r="W5" s="2"/>
      <c r="X5" s="2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2"/>
      <c r="S6" s="2"/>
      <c r="T6" s="2"/>
      <c r="U6" s="2"/>
      <c r="V6" s="2"/>
      <c r="W6" s="2"/>
      <c r="X6" s="2"/>
    </row>
    <row r="7">
      <c r="B7" s="4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2"/>
      <c r="S7" s="2"/>
      <c r="T7" s="2"/>
      <c r="U7" s="2"/>
      <c r="V7" s="2"/>
      <c r="W7" s="2"/>
      <c r="X7" s="2"/>
    </row>
    <row r="8"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2"/>
      <c r="S8" s="2"/>
      <c r="T8" s="2"/>
      <c r="U8" s="2"/>
      <c r="V8" s="2"/>
      <c r="W8" s="2"/>
      <c r="X8" s="2"/>
    </row>
    <row r="9"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2"/>
      <c r="S9" s="2"/>
      <c r="T9" s="2"/>
      <c r="U9" s="2"/>
      <c r="V9" s="2"/>
      <c r="W9" s="2"/>
      <c r="X9" s="2"/>
    </row>
    <row r="10">
      <c r="B10" s="1"/>
      <c r="D10" s="1"/>
      <c r="R10" s="2"/>
      <c r="S10" s="2"/>
      <c r="T10" s="2"/>
      <c r="U10" s="2"/>
      <c r="V10" s="2"/>
      <c r="W10" s="2"/>
      <c r="X10" s="2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2"/>
      <c r="S11" s="2"/>
      <c r="T11" s="2"/>
      <c r="U11" s="2"/>
      <c r="V11" s="2"/>
      <c r="W11" s="2"/>
      <c r="X11" s="2"/>
    </row>
    <row r="12">
      <c r="B12" s="5"/>
      <c r="C12" s="6"/>
      <c r="D12" s="7" t="s">
        <v>48</v>
      </c>
      <c r="E12" s="8"/>
      <c r="F12" s="8"/>
      <c r="G12" s="6"/>
      <c r="H12" s="9"/>
      <c r="J12" s="10"/>
      <c r="K12" s="6"/>
      <c r="L12" s="7" t="s">
        <v>49</v>
      </c>
      <c r="M12" s="8"/>
      <c r="N12" s="8"/>
      <c r="O12" s="6"/>
      <c r="P12" s="11"/>
      <c r="R12" s="12"/>
      <c r="S12" s="13" t="s">
        <v>2</v>
      </c>
      <c r="T12" s="14"/>
      <c r="U12" s="14"/>
      <c r="V12" s="14"/>
      <c r="W12" s="14"/>
      <c r="X12" s="14"/>
    </row>
    <row r="13">
      <c r="B13" s="15" t="s">
        <v>3</v>
      </c>
      <c r="C13" s="16" t="s">
        <v>4</v>
      </c>
      <c r="D13" s="16" t="s">
        <v>5</v>
      </c>
      <c r="E13" s="16" t="s">
        <v>6</v>
      </c>
      <c r="F13" s="16" t="s">
        <v>7</v>
      </c>
      <c r="G13" s="16" t="s">
        <v>8</v>
      </c>
      <c r="H13" s="17" t="s">
        <v>9</v>
      </c>
      <c r="J13" s="15" t="s">
        <v>3</v>
      </c>
      <c r="K13" s="16" t="s">
        <v>4</v>
      </c>
      <c r="L13" s="16" t="s">
        <v>5</v>
      </c>
      <c r="M13" s="16" t="s">
        <v>6</v>
      </c>
      <c r="N13" s="16" t="s">
        <v>7</v>
      </c>
      <c r="O13" s="16" t="s">
        <v>8</v>
      </c>
      <c r="P13" s="17" t="s">
        <v>9</v>
      </c>
      <c r="R13" s="12"/>
      <c r="S13" s="14"/>
      <c r="T13" s="14"/>
      <c r="U13" s="14"/>
      <c r="V13" s="14"/>
      <c r="W13" s="14"/>
      <c r="X13" s="14"/>
    </row>
    <row r="14">
      <c r="B14" s="18"/>
      <c r="C14" s="18"/>
      <c r="D14" s="18"/>
      <c r="E14" s="19">
        <v>45658.0</v>
      </c>
      <c r="F14" s="87">
        <v>45659.0</v>
      </c>
      <c r="G14" s="87">
        <v>45660.0</v>
      </c>
      <c r="H14" s="19">
        <v>45661.0</v>
      </c>
      <c r="J14" s="30"/>
      <c r="K14" s="30"/>
      <c r="L14" s="30"/>
      <c r="M14" s="30"/>
      <c r="N14" s="30"/>
      <c r="O14" s="30"/>
      <c r="P14" s="50">
        <v>45689.0</v>
      </c>
      <c r="R14" s="12"/>
      <c r="S14" s="25"/>
      <c r="T14" s="14" t="s">
        <v>10</v>
      </c>
      <c r="U14" s="14"/>
      <c r="V14" s="14"/>
      <c r="W14" s="14"/>
      <c r="X14" s="14"/>
      <c r="Z14" s="26" t="s">
        <v>11</v>
      </c>
    </row>
    <row r="15">
      <c r="B15" s="19">
        <v>45662.0</v>
      </c>
      <c r="C15" s="87">
        <v>45663.0</v>
      </c>
      <c r="D15" s="87">
        <v>45664.0</v>
      </c>
      <c r="E15" s="87">
        <v>45665.0</v>
      </c>
      <c r="F15" s="87">
        <v>45666.0</v>
      </c>
      <c r="G15" s="87">
        <v>45667.0</v>
      </c>
      <c r="H15" s="19">
        <v>45668.0</v>
      </c>
      <c r="J15" s="50">
        <v>45690.0</v>
      </c>
      <c r="K15" s="49">
        <v>45691.0</v>
      </c>
      <c r="L15" s="49">
        <v>45692.0</v>
      </c>
      <c r="M15" s="49">
        <v>45693.0</v>
      </c>
      <c r="N15" s="49">
        <v>45694.0</v>
      </c>
      <c r="O15" s="49">
        <v>45695.0</v>
      </c>
      <c r="P15" s="50">
        <v>45696.0</v>
      </c>
      <c r="Q15" s="27" t="s">
        <v>12</v>
      </c>
      <c r="R15" s="12"/>
      <c r="S15" s="14"/>
      <c r="T15" s="14"/>
      <c r="U15" s="14"/>
      <c r="V15" s="14"/>
      <c r="W15" s="14"/>
      <c r="X15" s="14"/>
      <c r="Z15" s="2"/>
    </row>
    <row r="16">
      <c r="B16" s="19">
        <v>45669.0</v>
      </c>
      <c r="C16" s="87">
        <v>45670.0</v>
      </c>
      <c r="D16" s="87">
        <v>45671.0</v>
      </c>
      <c r="E16" s="87">
        <v>45672.0</v>
      </c>
      <c r="F16" s="87">
        <v>45673.0</v>
      </c>
      <c r="G16" s="87">
        <v>45674.0</v>
      </c>
      <c r="H16" s="19">
        <v>45675.0</v>
      </c>
      <c r="J16" s="50">
        <v>45697.0</v>
      </c>
      <c r="K16" s="49">
        <v>45698.0</v>
      </c>
      <c r="L16" s="49">
        <v>45699.0</v>
      </c>
      <c r="M16" s="49">
        <v>45700.0</v>
      </c>
      <c r="N16" s="49">
        <v>45701.0</v>
      </c>
      <c r="O16" s="49">
        <v>45702.0</v>
      </c>
      <c r="P16" s="50">
        <v>45703.0</v>
      </c>
      <c r="R16" s="12"/>
      <c r="S16" s="28"/>
      <c r="T16" s="14" t="s">
        <v>13</v>
      </c>
      <c r="U16" s="14"/>
      <c r="V16" s="14"/>
      <c r="W16" s="14"/>
      <c r="X16" s="14"/>
      <c r="Z16" s="26" t="s">
        <v>14</v>
      </c>
    </row>
    <row r="17">
      <c r="B17" s="19">
        <v>45676.0</v>
      </c>
      <c r="C17" s="87">
        <v>45677.0</v>
      </c>
      <c r="D17" s="87">
        <v>45678.0</v>
      </c>
      <c r="E17" s="87">
        <v>45679.0</v>
      </c>
      <c r="F17" s="87">
        <v>45680.0</v>
      </c>
      <c r="G17" s="87">
        <v>45681.0</v>
      </c>
      <c r="H17" s="19">
        <v>45682.0</v>
      </c>
      <c r="J17" s="50">
        <v>45704.0</v>
      </c>
      <c r="K17" s="49">
        <v>45705.0</v>
      </c>
      <c r="L17" s="49">
        <v>45706.0</v>
      </c>
      <c r="M17" s="49">
        <v>45707.0</v>
      </c>
      <c r="N17" s="49">
        <v>45708.0</v>
      </c>
      <c r="O17" s="49">
        <v>45709.0</v>
      </c>
      <c r="P17" s="50">
        <v>45710.0</v>
      </c>
      <c r="R17" s="12"/>
      <c r="S17" s="14"/>
      <c r="T17" s="14"/>
      <c r="U17" s="14"/>
      <c r="V17" s="14"/>
      <c r="W17" s="14"/>
      <c r="X17" s="14"/>
      <c r="Z17" s="2"/>
    </row>
    <row r="18">
      <c r="B18" s="50">
        <v>45683.0</v>
      </c>
      <c r="C18" s="49">
        <v>45684.0</v>
      </c>
      <c r="D18" s="49">
        <v>45685.0</v>
      </c>
      <c r="E18" s="49">
        <v>45686.0</v>
      </c>
      <c r="F18" s="49">
        <v>45687.0</v>
      </c>
      <c r="G18" s="49">
        <v>45688.0</v>
      </c>
      <c r="H18" s="90"/>
      <c r="J18" s="50">
        <v>45711.0</v>
      </c>
      <c r="K18" s="175">
        <v>45712.0</v>
      </c>
      <c r="L18" s="176">
        <v>45713.0</v>
      </c>
      <c r="M18" s="176">
        <v>45714.0</v>
      </c>
      <c r="N18" s="176">
        <v>45715.0</v>
      </c>
      <c r="O18" s="176">
        <v>45716.0</v>
      </c>
      <c r="P18" s="30"/>
      <c r="R18" s="12"/>
      <c r="S18" s="31"/>
      <c r="T18" s="14" t="s">
        <v>15</v>
      </c>
      <c r="U18" s="14"/>
      <c r="V18" s="14"/>
      <c r="W18" s="14"/>
      <c r="X18" s="14"/>
      <c r="Z18" s="26" t="s">
        <v>16</v>
      </c>
    </row>
    <row r="19">
      <c r="B19" s="32"/>
      <c r="C19" s="32"/>
      <c r="D19" s="32"/>
      <c r="E19" s="33"/>
      <c r="F19" s="33"/>
      <c r="G19" s="33"/>
      <c r="H19" s="33"/>
      <c r="J19" s="32"/>
      <c r="K19" s="32"/>
      <c r="L19" s="32"/>
      <c r="M19" s="34" t="s">
        <v>17</v>
      </c>
      <c r="O19" s="119">
        <f>"05:00"*4+"04:10"</f>
        <v>1.006944444</v>
      </c>
      <c r="P19" s="33"/>
      <c r="R19" s="12"/>
      <c r="S19" s="14"/>
      <c r="T19" s="14"/>
      <c r="U19" s="14"/>
      <c r="V19" s="14"/>
      <c r="W19" s="14"/>
      <c r="X19" s="14"/>
      <c r="Z19" s="2"/>
    </row>
    <row r="20">
      <c r="B20" s="36"/>
      <c r="C20" s="36"/>
      <c r="D20" s="36"/>
      <c r="E20" s="36"/>
      <c r="F20" s="36"/>
      <c r="G20" s="36"/>
      <c r="H20" s="36"/>
      <c r="J20" s="36"/>
      <c r="K20" s="36"/>
      <c r="L20" s="36"/>
      <c r="M20" s="37" t="s">
        <v>18</v>
      </c>
      <c r="N20" s="38"/>
      <c r="O20" s="39"/>
      <c r="P20" s="36"/>
      <c r="R20" s="12"/>
      <c r="S20" s="40"/>
      <c r="T20" s="41" t="s">
        <v>19</v>
      </c>
      <c r="U20" s="14"/>
      <c r="V20" s="14"/>
      <c r="W20" s="14"/>
      <c r="X20" s="14"/>
      <c r="Z20" s="26" t="s">
        <v>20</v>
      </c>
    </row>
    <row r="21">
      <c r="B21" s="42"/>
      <c r="C21" s="43"/>
      <c r="D21" s="44" t="s">
        <v>50</v>
      </c>
      <c r="E21" s="45"/>
      <c r="F21" s="45"/>
      <c r="G21" s="43"/>
      <c r="H21" s="46"/>
      <c r="J21" s="42"/>
      <c r="K21" s="43"/>
      <c r="L21" s="44" t="s">
        <v>51</v>
      </c>
      <c r="M21" s="45"/>
      <c r="N21" s="45"/>
      <c r="O21" s="43"/>
      <c r="P21" s="46"/>
      <c r="R21" s="12"/>
      <c r="S21" s="14"/>
      <c r="T21" s="14"/>
      <c r="U21" s="14"/>
      <c r="V21" s="14"/>
      <c r="W21" s="2"/>
      <c r="X21" s="2"/>
    </row>
    <row r="22">
      <c r="B22" s="15" t="s">
        <v>3</v>
      </c>
      <c r="C22" s="16" t="s">
        <v>4</v>
      </c>
      <c r="D22" s="16" t="s">
        <v>5</v>
      </c>
      <c r="E22" s="16" t="s">
        <v>6</v>
      </c>
      <c r="F22" s="16" t="s">
        <v>7</v>
      </c>
      <c r="G22" s="16" t="s">
        <v>8</v>
      </c>
      <c r="H22" s="17" t="s">
        <v>9</v>
      </c>
      <c r="J22" s="15" t="s">
        <v>3</v>
      </c>
      <c r="K22" s="16" t="s">
        <v>4</v>
      </c>
      <c r="L22" s="16" t="s">
        <v>5</v>
      </c>
      <c r="M22" s="16" t="s">
        <v>6</v>
      </c>
      <c r="N22" s="16" t="s">
        <v>7</v>
      </c>
      <c r="O22" s="16" t="s">
        <v>8</v>
      </c>
      <c r="P22" s="17" t="s">
        <v>9</v>
      </c>
      <c r="R22" s="12"/>
      <c r="S22" s="59"/>
      <c r="T22" s="48" t="s">
        <v>73</v>
      </c>
      <c r="U22" s="14"/>
      <c r="V22" s="14"/>
      <c r="W22" s="2"/>
      <c r="X22" s="2"/>
    </row>
    <row r="23">
      <c r="B23" s="30"/>
      <c r="C23" s="74"/>
      <c r="D23" s="74"/>
      <c r="E23" s="74"/>
      <c r="F23" s="66"/>
      <c r="G23" s="66"/>
      <c r="H23" s="50">
        <v>45717.0</v>
      </c>
      <c r="J23" s="30"/>
      <c r="K23" s="30"/>
      <c r="L23" s="174">
        <v>45748.0</v>
      </c>
      <c r="M23" s="173">
        <v>45749.0</v>
      </c>
      <c r="N23" s="174">
        <v>45750.0</v>
      </c>
      <c r="O23" s="173">
        <v>45751.0</v>
      </c>
      <c r="P23" s="50">
        <v>45752.0</v>
      </c>
      <c r="R23" s="12"/>
      <c r="S23" s="2"/>
      <c r="T23" s="2"/>
      <c r="U23" s="14"/>
      <c r="V23" s="14"/>
      <c r="W23" s="2"/>
      <c r="X23" s="2"/>
    </row>
    <row r="24">
      <c r="B24" s="50">
        <v>45718.0</v>
      </c>
      <c r="C24" s="50">
        <v>45719.0</v>
      </c>
      <c r="D24" s="50">
        <v>45720.0</v>
      </c>
      <c r="E24" s="50">
        <v>45721.0</v>
      </c>
      <c r="F24" s="176">
        <v>45722.0</v>
      </c>
      <c r="G24" s="173">
        <v>45723.0</v>
      </c>
      <c r="H24" s="50">
        <v>45724.0</v>
      </c>
      <c r="I24" s="51"/>
      <c r="J24" s="50">
        <v>45753.0</v>
      </c>
      <c r="K24" s="174">
        <v>45754.0</v>
      </c>
      <c r="L24" s="174">
        <v>45755.0</v>
      </c>
      <c r="M24" s="173">
        <v>45756.0</v>
      </c>
      <c r="N24" s="174">
        <v>45757.0</v>
      </c>
      <c r="O24" s="173">
        <v>45758.0</v>
      </c>
      <c r="P24" s="50">
        <v>45759.0</v>
      </c>
      <c r="R24" s="12"/>
      <c r="S24" s="164"/>
      <c r="T24" s="48" t="s">
        <v>93</v>
      </c>
      <c r="U24" s="53"/>
      <c r="V24" s="53"/>
      <c r="W24" s="53"/>
      <c r="X24" s="2"/>
    </row>
    <row r="25">
      <c r="B25" s="50">
        <v>45725.0</v>
      </c>
      <c r="C25" s="174">
        <v>45726.0</v>
      </c>
      <c r="D25" s="174">
        <v>45727.0</v>
      </c>
      <c r="E25" s="173">
        <v>45728.0</v>
      </c>
      <c r="F25" s="174">
        <v>45729.0</v>
      </c>
      <c r="G25" s="173">
        <v>45730.0</v>
      </c>
      <c r="H25" s="50">
        <v>45731.0</v>
      </c>
      <c r="I25" s="51"/>
      <c r="J25" s="50">
        <v>45760.0</v>
      </c>
      <c r="K25" s="174">
        <v>45761.0</v>
      </c>
      <c r="L25" s="174">
        <v>45762.0</v>
      </c>
      <c r="M25" s="173">
        <v>45763.0</v>
      </c>
      <c r="N25" s="174">
        <v>45764.0</v>
      </c>
      <c r="O25" s="50">
        <v>45765.0</v>
      </c>
      <c r="P25" s="50">
        <v>45766.0</v>
      </c>
      <c r="R25" s="12"/>
      <c r="S25" s="2"/>
      <c r="T25" s="2"/>
      <c r="U25" s="53"/>
      <c r="V25" s="53"/>
      <c r="W25" s="53"/>
      <c r="X25" s="2"/>
    </row>
    <row r="26">
      <c r="B26" s="50">
        <v>45732.0</v>
      </c>
      <c r="C26" s="174">
        <v>45733.0</v>
      </c>
      <c r="D26" s="174">
        <v>45734.0</v>
      </c>
      <c r="E26" s="173">
        <v>45735.0</v>
      </c>
      <c r="F26" s="174">
        <v>45736.0</v>
      </c>
      <c r="G26" s="173">
        <v>45737.0</v>
      </c>
      <c r="H26" s="50">
        <v>45738.0</v>
      </c>
      <c r="I26" s="51"/>
      <c r="J26" s="50">
        <v>45767.0</v>
      </c>
      <c r="K26" s="50">
        <v>45768.0</v>
      </c>
      <c r="L26" s="174">
        <v>45769.0</v>
      </c>
      <c r="M26" s="173">
        <v>45770.0</v>
      </c>
      <c r="N26" s="174">
        <v>45771.0</v>
      </c>
      <c r="O26" s="173">
        <v>45772.0</v>
      </c>
      <c r="P26" s="50">
        <v>45773.0</v>
      </c>
      <c r="R26" s="54"/>
      <c r="S26" s="55"/>
      <c r="T26" s="2" t="s">
        <v>74</v>
      </c>
      <c r="U26" s="14"/>
      <c r="V26" s="14"/>
      <c r="W26" s="14"/>
      <c r="X26" s="14"/>
    </row>
    <row r="27">
      <c r="B27" s="50">
        <v>45739.0</v>
      </c>
      <c r="C27" s="174">
        <v>45740.0</v>
      </c>
      <c r="D27" s="174">
        <v>45741.0</v>
      </c>
      <c r="E27" s="173">
        <v>45742.0</v>
      </c>
      <c r="F27" s="174">
        <v>45743.0</v>
      </c>
      <c r="G27" s="173">
        <v>45744.0</v>
      </c>
      <c r="H27" s="50">
        <v>45745.0</v>
      </c>
      <c r="I27" s="51"/>
      <c r="J27" s="50">
        <v>45774.0</v>
      </c>
      <c r="K27" s="174">
        <v>45775.0</v>
      </c>
      <c r="L27" s="174">
        <v>45776.0</v>
      </c>
      <c r="M27" s="173">
        <v>45777.0</v>
      </c>
      <c r="N27" s="56"/>
      <c r="O27" s="56"/>
      <c r="P27" s="57"/>
      <c r="R27" s="54"/>
      <c r="S27" s="26"/>
      <c r="T27" s="26"/>
      <c r="U27" s="14"/>
      <c r="V27" s="14"/>
      <c r="W27" s="14"/>
      <c r="X27" s="14"/>
    </row>
    <row r="28">
      <c r="B28" s="50">
        <v>45746.0</v>
      </c>
      <c r="C28" s="174">
        <v>45747.0</v>
      </c>
      <c r="D28" s="56"/>
      <c r="E28" s="56"/>
      <c r="F28" s="56"/>
      <c r="G28" s="56"/>
      <c r="H28" s="57"/>
      <c r="J28" s="36"/>
      <c r="K28" s="36"/>
      <c r="L28" s="36"/>
      <c r="M28" s="36"/>
      <c r="N28" s="34" t="s">
        <v>17</v>
      </c>
      <c r="P28" s="119">
        <f>("01:40")*12+("02:30")*8</f>
        <v>1.666666667</v>
      </c>
      <c r="R28" s="54"/>
      <c r="S28" s="31"/>
      <c r="T28" s="130" t="s">
        <v>100</v>
      </c>
      <c r="U28" s="14"/>
      <c r="V28" s="14"/>
      <c r="W28" s="14"/>
      <c r="X28" s="14"/>
    </row>
    <row r="29">
      <c r="B29" s="36"/>
      <c r="C29" s="36"/>
      <c r="D29" s="36"/>
      <c r="E29" s="34" t="s">
        <v>17</v>
      </c>
      <c r="G29" s="119">
        <f>("01:40")*10+("02:30")*7+"05:00"</f>
        <v>1.631944444</v>
      </c>
      <c r="H29" s="36"/>
      <c r="N29" s="37" t="s">
        <v>18</v>
      </c>
      <c r="O29" s="38"/>
      <c r="P29" s="139">
        <f>"04:00"*20</f>
        <v>3.333333333</v>
      </c>
      <c r="R29" s="54"/>
      <c r="S29" s="2"/>
      <c r="T29" s="2"/>
      <c r="U29" s="61"/>
      <c r="V29" s="14"/>
      <c r="W29" s="14"/>
      <c r="X29" s="14"/>
    </row>
    <row r="30">
      <c r="B30" s="36"/>
      <c r="C30" s="36"/>
      <c r="D30" s="36"/>
      <c r="E30" s="37" t="s">
        <v>18</v>
      </c>
      <c r="F30" s="38"/>
      <c r="G30" s="139">
        <f>"04:00"*17</f>
        <v>2.833333333</v>
      </c>
      <c r="H30" s="36"/>
      <c r="J30" s="32"/>
      <c r="K30" s="33"/>
      <c r="L30" s="33"/>
      <c r="M30" s="33"/>
      <c r="R30" s="54"/>
      <c r="S30" s="142"/>
      <c r="T30" s="48" t="s">
        <v>95</v>
      </c>
      <c r="U30" s="61"/>
      <c r="V30" s="14"/>
      <c r="W30" s="14"/>
      <c r="X30" s="14"/>
    </row>
    <row r="31" ht="15.75" customHeight="1">
      <c r="J31" s="36"/>
      <c r="K31" s="36"/>
      <c r="L31" s="36"/>
      <c r="M31" s="36"/>
      <c r="R31" s="54"/>
      <c r="S31" s="2"/>
      <c r="V31" s="14"/>
      <c r="W31" s="14"/>
      <c r="X31" s="14"/>
    </row>
    <row r="32" ht="15.75" customHeight="1">
      <c r="B32" s="42"/>
      <c r="C32" s="43"/>
      <c r="D32" s="64" t="s">
        <v>53</v>
      </c>
      <c r="E32" s="65"/>
      <c r="F32" s="65"/>
      <c r="G32" s="43"/>
      <c r="H32" s="46"/>
      <c r="J32" s="42"/>
      <c r="K32" s="43"/>
      <c r="L32" s="64" t="s">
        <v>54</v>
      </c>
      <c r="M32" s="65"/>
      <c r="N32" s="65"/>
      <c r="O32" s="43"/>
      <c r="P32" s="46"/>
      <c r="R32" s="54"/>
      <c r="S32" s="2"/>
      <c r="T32" s="62" t="s">
        <v>27</v>
      </c>
      <c r="U32" s="63">
        <f>SUM(O19+G29+P28+H39+P39+H49+O50+H59+P59+H71+P70)</f>
        <v>16.66666667</v>
      </c>
      <c r="V32" s="14"/>
      <c r="W32" s="14"/>
      <c r="X32" s="14"/>
    </row>
    <row r="33" ht="15.75" customHeight="1">
      <c r="B33" s="15" t="s">
        <v>3</v>
      </c>
      <c r="C33" s="16" t="s">
        <v>4</v>
      </c>
      <c r="D33" s="16" t="s">
        <v>5</v>
      </c>
      <c r="E33" s="16" t="s">
        <v>6</v>
      </c>
      <c r="F33" s="16" t="s">
        <v>7</v>
      </c>
      <c r="G33" s="16" t="s">
        <v>8</v>
      </c>
      <c r="H33" s="17" t="s">
        <v>9</v>
      </c>
      <c r="J33" s="15" t="s">
        <v>3</v>
      </c>
      <c r="K33" s="16" t="s">
        <v>4</v>
      </c>
      <c r="L33" s="16" t="s">
        <v>5</v>
      </c>
      <c r="M33" s="16" t="s">
        <v>6</v>
      </c>
      <c r="N33" s="16" t="s">
        <v>7</v>
      </c>
      <c r="O33" s="16" t="s">
        <v>8</v>
      </c>
      <c r="P33" s="17" t="s">
        <v>9</v>
      </c>
      <c r="R33" s="54"/>
      <c r="S33" s="2"/>
      <c r="T33" s="14"/>
      <c r="U33" s="61"/>
      <c r="V33" s="14"/>
      <c r="W33" s="14"/>
      <c r="X33" s="14"/>
    </row>
    <row r="34" ht="15.75" customHeight="1">
      <c r="B34" s="30"/>
      <c r="C34" s="74"/>
      <c r="D34" s="74"/>
      <c r="E34" s="74"/>
      <c r="F34" s="50">
        <v>45778.0</v>
      </c>
      <c r="G34" s="173">
        <v>45779.0</v>
      </c>
      <c r="H34" s="50">
        <v>45780.0</v>
      </c>
      <c r="J34" s="50">
        <v>45809.0</v>
      </c>
      <c r="K34" s="174">
        <v>45810.0</v>
      </c>
      <c r="L34" s="174">
        <v>45811.0</v>
      </c>
      <c r="M34" s="173">
        <v>45812.0</v>
      </c>
      <c r="N34" s="174">
        <v>45813.0</v>
      </c>
      <c r="O34" s="173">
        <v>45814.0</v>
      </c>
      <c r="P34" s="50">
        <v>45815.0</v>
      </c>
      <c r="R34" s="54"/>
      <c r="S34" s="2"/>
      <c r="T34" s="62" t="s">
        <v>30</v>
      </c>
      <c r="U34" s="63">
        <f>SUM(O20+G30+P29+H40+P40+H50+O51+H60+P60+H72+P71)</f>
        <v>33.33333333</v>
      </c>
      <c r="V34" s="2"/>
      <c r="W34" s="67"/>
      <c r="X34" s="67"/>
    </row>
    <row r="35" ht="15.75" customHeight="1">
      <c r="B35" s="50">
        <v>45781.0</v>
      </c>
      <c r="C35" s="174">
        <v>45782.0</v>
      </c>
      <c r="D35" s="174">
        <v>45783.0</v>
      </c>
      <c r="E35" s="173">
        <v>45784.0</v>
      </c>
      <c r="F35" s="174">
        <v>45785.0</v>
      </c>
      <c r="G35" s="173">
        <v>45786.0</v>
      </c>
      <c r="H35" s="50">
        <v>45787.0</v>
      </c>
      <c r="I35" s="67"/>
      <c r="J35" s="50">
        <v>45816.0</v>
      </c>
      <c r="K35" s="174">
        <v>45817.0</v>
      </c>
      <c r="L35" s="174">
        <v>45818.0</v>
      </c>
      <c r="M35" s="173">
        <v>45819.0</v>
      </c>
      <c r="N35" s="174">
        <v>45820.0</v>
      </c>
      <c r="O35" s="173">
        <v>45821.0</v>
      </c>
      <c r="P35" s="50">
        <v>45822.0</v>
      </c>
      <c r="R35" s="3">
        <f>"2:30"*2+"4:00"*2+"05:00"*3</f>
        <v>1.166666667</v>
      </c>
      <c r="S35" s="2"/>
      <c r="T35" s="26"/>
      <c r="U35" s="26"/>
      <c r="V35" s="2"/>
    </row>
    <row r="36" ht="15.75" customHeight="1">
      <c r="B36" s="50">
        <v>45788.0</v>
      </c>
      <c r="C36" s="174">
        <v>45789.0</v>
      </c>
      <c r="D36" s="174">
        <v>45790.0</v>
      </c>
      <c r="E36" s="173">
        <v>45791.0</v>
      </c>
      <c r="F36" s="174">
        <v>45792.0</v>
      </c>
      <c r="G36" s="173">
        <v>45793.0</v>
      </c>
      <c r="H36" s="50">
        <v>45794.0</v>
      </c>
      <c r="I36" s="67"/>
      <c r="J36" s="50">
        <v>45823.0</v>
      </c>
      <c r="K36" s="174">
        <v>45824.0</v>
      </c>
      <c r="L36" s="174">
        <v>45825.0</v>
      </c>
      <c r="M36" s="173">
        <v>45826.0</v>
      </c>
      <c r="N36" s="174">
        <v>45827.0</v>
      </c>
      <c r="O36" s="173">
        <v>45828.0</v>
      </c>
      <c r="P36" s="50">
        <v>45829.0</v>
      </c>
      <c r="R36" s="54"/>
      <c r="S36" s="2"/>
      <c r="T36" s="68" t="s">
        <v>31</v>
      </c>
      <c r="U36" s="63">
        <f>SUM(U32+U34)</f>
        <v>50</v>
      </c>
      <c r="V36" s="2"/>
    </row>
    <row r="37" ht="15.75" customHeight="1">
      <c r="B37" s="50">
        <v>45795.0</v>
      </c>
      <c r="C37" s="174">
        <v>45796.0</v>
      </c>
      <c r="D37" s="174">
        <v>45797.0</v>
      </c>
      <c r="E37" s="173">
        <v>45798.0</v>
      </c>
      <c r="F37" s="174">
        <v>45799.0</v>
      </c>
      <c r="G37" s="173">
        <v>45800.0</v>
      </c>
      <c r="H37" s="50">
        <v>45801.0</v>
      </c>
      <c r="I37" s="67"/>
      <c r="J37" s="50">
        <v>45830.0</v>
      </c>
      <c r="K37" s="174">
        <v>45831.0</v>
      </c>
      <c r="L37" s="50">
        <v>45832.0</v>
      </c>
      <c r="M37" s="173">
        <v>45833.0</v>
      </c>
      <c r="N37" s="174">
        <v>45834.0</v>
      </c>
      <c r="O37" s="173">
        <v>45835.0</v>
      </c>
      <c r="P37" s="50">
        <v>45836.0</v>
      </c>
      <c r="R37" s="54"/>
      <c r="S37" s="69"/>
      <c r="T37" s="2"/>
      <c r="U37" s="2"/>
      <c r="V37" s="2"/>
      <c r="W37" s="2"/>
      <c r="X37" s="2"/>
    </row>
    <row r="38" ht="15.75" customHeight="1">
      <c r="B38" s="50">
        <v>45802.0</v>
      </c>
      <c r="C38" s="174">
        <v>45803.0</v>
      </c>
      <c r="D38" s="174">
        <v>45804.0</v>
      </c>
      <c r="E38" s="173">
        <v>45805.0</v>
      </c>
      <c r="F38" s="174">
        <v>45806.0</v>
      </c>
      <c r="G38" s="173">
        <v>45807.0</v>
      </c>
      <c r="H38" s="50">
        <v>45808.0</v>
      </c>
      <c r="J38" s="50">
        <v>45837.0</v>
      </c>
      <c r="K38" s="174">
        <v>45838.0</v>
      </c>
      <c r="L38" s="91"/>
      <c r="M38" s="91"/>
      <c r="N38" s="91"/>
      <c r="O38" s="91"/>
      <c r="P38" s="91"/>
      <c r="R38" s="54"/>
      <c r="S38" s="70" t="s">
        <v>32</v>
      </c>
      <c r="T38" s="2"/>
      <c r="U38" s="2"/>
      <c r="V38" s="2"/>
      <c r="W38" s="2"/>
      <c r="X38" s="2"/>
    </row>
    <row r="39" ht="15.75" customHeight="1">
      <c r="B39" s="32"/>
      <c r="C39" s="32"/>
      <c r="D39" s="32"/>
      <c r="E39" s="32"/>
      <c r="F39" s="34" t="s">
        <v>17</v>
      </c>
      <c r="H39" s="119">
        <f>("01:40")*12+("02:30")*9</f>
        <v>1.770833333</v>
      </c>
      <c r="I39" s="67"/>
      <c r="N39" s="34" t="s">
        <v>17</v>
      </c>
      <c r="P39" s="119">
        <f>("01:40")*12+("02:30")*8</f>
        <v>1.666666667</v>
      </c>
      <c r="R39" s="54"/>
      <c r="S39" s="71" t="s">
        <v>109</v>
      </c>
      <c r="T39" s="2"/>
      <c r="U39" s="2"/>
      <c r="V39" s="2"/>
      <c r="W39" s="2"/>
      <c r="X39" s="2"/>
    </row>
    <row r="40" ht="15.75" customHeight="1">
      <c r="B40" s="32"/>
      <c r="C40" s="32"/>
      <c r="D40" s="32"/>
      <c r="E40" s="32"/>
      <c r="F40" s="37" t="s">
        <v>18</v>
      </c>
      <c r="G40" s="38"/>
      <c r="H40" s="139">
        <f>"04:00"*21</f>
        <v>3.5</v>
      </c>
      <c r="I40" s="67"/>
      <c r="J40" s="32"/>
      <c r="K40" s="32"/>
      <c r="L40" s="32"/>
      <c r="M40" s="32"/>
      <c r="N40" s="37" t="s">
        <v>18</v>
      </c>
      <c r="O40" s="38"/>
      <c r="P40" s="139">
        <f>"04:00"*20</f>
        <v>3.333333333</v>
      </c>
      <c r="R40" s="54"/>
      <c r="S40" s="71" t="s">
        <v>110</v>
      </c>
      <c r="T40" s="2"/>
      <c r="U40" s="2"/>
      <c r="V40" s="2"/>
      <c r="W40" s="2"/>
      <c r="X40" s="2"/>
    </row>
    <row r="41" ht="15.75" customHeight="1">
      <c r="B41" s="36"/>
      <c r="C41" s="36"/>
      <c r="D41" s="36"/>
      <c r="E41" s="36"/>
      <c r="J41" s="36"/>
      <c r="K41" s="36"/>
      <c r="L41" s="36"/>
      <c r="M41" s="36"/>
      <c r="R41" s="54"/>
      <c r="S41" s="2"/>
      <c r="T41" s="2"/>
      <c r="U41" s="2"/>
      <c r="V41" s="2"/>
      <c r="W41" s="2"/>
      <c r="X41" s="2"/>
    </row>
    <row r="42" ht="15.75" customHeight="1">
      <c r="B42" s="42"/>
      <c r="C42" s="43"/>
      <c r="D42" s="64" t="s">
        <v>57</v>
      </c>
      <c r="E42" s="65"/>
      <c r="F42" s="65"/>
      <c r="G42" s="43"/>
      <c r="H42" s="46"/>
      <c r="J42" s="42"/>
      <c r="K42" s="43"/>
      <c r="L42" s="64" t="s">
        <v>58</v>
      </c>
      <c r="M42" s="65"/>
      <c r="N42" s="65"/>
      <c r="O42" s="43"/>
      <c r="P42" s="46"/>
      <c r="R42" s="54"/>
      <c r="S42" s="72" t="s">
        <v>37</v>
      </c>
    </row>
    <row r="43" ht="15.75" customHeight="1">
      <c r="B43" s="15" t="s">
        <v>3</v>
      </c>
      <c r="C43" s="16" t="s">
        <v>4</v>
      </c>
      <c r="D43" s="16" t="s">
        <v>5</v>
      </c>
      <c r="E43" s="16" t="s">
        <v>6</v>
      </c>
      <c r="F43" s="16" t="s">
        <v>7</v>
      </c>
      <c r="G43" s="16" t="s">
        <v>8</v>
      </c>
      <c r="H43" s="17" t="s">
        <v>9</v>
      </c>
      <c r="J43" s="15" t="s">
        <v>3</v>
      </c>
      <c r="K43" s="16" t="s">
        <v>4</v>
      </c>
      <c r="L43" s="16" t="s">
        <v>5</v>
      </c>
      <c r="M43" s="16" t="s">
        <v>6</v>
      </c>
      <c r="N43" s="16" t="s">
        <v>7</v>
      </c>
      <c r="O43" s="16" t="s">
        <v>8</v>
      </c>
      <c r="P43" s="17" t="s">
        <v>9</v>
      </c>
      <c r="R43" s="54"/>
      <c r="S43" s="73" t="s">
        <v>111</v>
      </c>
    </row>
    <row r="44" ht="15.75" customHeight="1">
      <c r="B44" s="30"/>
      <c r="C44" s="30"/>
      <c r="D44" s="174">
        <v>45839.0</v>
      </c>
      <c r="E44" s="173">
        <v>45840.0</v>
      </c>
      <c r="F44" s="174">
        <v>45841.0</v>
      </c>
      <c r="G44" s="173">
        <v>45842.0</v>
      </c>
      <c r="H44" s="50">
        <v>45843.0</v>
      </c>
      <c r="J44" s="30"/>
      <c r="K44" s="66"/>
      <c r="L44" s="66"/>
      <c r="M44" s="66"/>
      <c r="N44" s="66"/>
      <c r="O44" s="173">
        <v>45870.0</v>
      </c>
      <c r="P44" s="50">
        <v>45871.0</v>
      </c>
      <c r="R44" s="54"/>
      <c r="S44" s="75" t="s">
        <v>112</v>
      </c>
    </row>
    <row r="45" ht="15.75" customHeight="1">
      <c r="B45" s="50">
        <v>45844.0</v>
      </c>
      <c r="C45" s="174">
        <v>45845.0</v>
      </c>
      <c r="D45" s="174">
        <v>45846.0</v>
      </c>
      <c r="E45" s="173">
        <v>45847.0</v>
      </c>
      <c r="F45" s="174">
        <v>45848.0</v>
      </c>
      <c r="G45" s="173">
        <v>45849.0</v>
      </c>
      <c r="H45" s="50">
        <v>45850.0</v>
      </c>
      <c r="J45" s="50">
        <v>45872.0</v>
      </c>
      <c r="K45" s="174">
        <v>45873.0</v>
      </c>
      <c r="L45" s="174">
        <v>45874.0</v>
      </c>
      <c r="M45" s="173">
        <v>45875.0</v>
      </c>
      <c r="N45" s="174">
        <v>45876.0</v>
      </c>
      <c r="O45" s="173">
        <v>45877.0</v>
      </c>
      <c r="P45" s="50">
        <v>45878.0</v>
      </c>
      <c r="R45" s="54"/>
    </row>
    <row r="46" ht="15.75" customHeight="1">
      <c r="B46" s="50">
        <v>45851.0</v>
      </c>
      <c r="C46" s="172">
        <v>45852.0</v>
      </c>
      <c r="D46" s="172">
        <v>45853.0</v>
      </c>
      <c r="E46" s="172">
        <v>45854.0</v>
      </c>
      <c r="F46" s="172">
        <v>45855.0</v>
      </c>
      <c r="G46" s="172">
        <v>45856.0</v>
      </c>
      <c r="H46" s="50">
        <v>45857.0</v>
      </c>
      <c r="J46" s="50">
        <v>45879.0</v>
      </c>
      <c r="K46" s="174">
        <v>45880.0</v>
      </c>
      <c r="L46" s="174">
        <v>45881.0</v>
      </c>
      <c r="M46" s="173">
        <v>45882.0</v>
      </c>
      <c r="N46" s="174">
        <v>45883.0</v>
      </c>
      <c r="O46" s="173">
        <v>45884.0</v>
      </c>
      <c r="P46" s="50">
        <v>45885.0</v>
      </c>
      <c r="R46" s="54"/>
      <c r="S46" s="73" t="s">
        <v>113</v>
      </c>
    </row>
    <row r="47" ht="15.75" customHeight="1">
      <c r="B47" s="50">
        <v>45858.0</v>
      </c>
      <c r="C47" s="172">
        <v>45859.0</v>
      </c>
      <c r="D47" s="172">
        <v>45860.0</v>
      </c>
      <c r="E47" s="172">
        <v>45861.0</v>
      </c>
      <c r="F47" s="172">
        <v>45862.0</v>
      </c>
      <c r="G47" s="172">
        <v>45863.0</v>
      </c>
      <c r="H47" s="50">
        <v>45864.0</v>
      </c>
      <c r="J47" s="50">
        <v>45886.0</v>
      </c>
      <c r="K47" s="174">
        <v>45887.0</v>
      </c>
      <c r="L47" s="174">
        <v>45888.0</v>
      </c>
      <c r="M47" s="173">
        <v>45889.0</v>
      </c>
      <c r="N47" s="174">
        <v>45890.0</v>
      </c>
      <c r="O47" s="173">
        <v>45891.0</v>
      </c>
      <c r="P47" s="50">
        <v>45892.0</v>
      </c>
      <c r="R47" s="54"/>
    </row>
    <row r="48" ht="15.75" customHeight="1">
      <c r="B48" s="50">
        <v>45865.0</v>
      </c>
      <c r="C48" s="174">
        <v>45866.0</v>
      </c>
      <c r="D48" s="174">
        <v>45867.0</v>
      </c>
      <c r="E48" s="173">
        <v>45868.0</v>
      </c>
      <c r="F48" s="174">
        <v>45869.0</v>
      </c>
      <c r="G48" s="30"/>
      <c r="H48" s="30"/>
      <c r="J48" s="50">
        <v>45893.0</v>
      </c>
      <c r="K48" s="174">
        <v>45894.0</v>
      </c>
      <c r="L48" s="174">
        <v>45895.0</v>
      </c>
      <c r="M48" s="173">
        <v>45896.0</v>
      </c>
      <c r="N48" s="174">
        <v>45897.0</v>
      </c>
      <c r="O48" s="173">
        <v>45898.0</v>
      </c>
      <c r="P48" s="50">
        <v>45899.0</v>
      </c>
      <c r="R48" s="54"/>
      <c r="S48" s="77" t="s">
        <v>114</v>
      </c>
    </row>
    <row r="49" ht="15.75" customHeight="1">
      <c r="A49" s="78"/>
      <c r="B49" s="79"/>
      <c r="C49" s="79"/>
      <c r="D49" s="80"/>
      <c r="E49" s="80"/>
      <c r="F49" s="34" t="s">
        <v>17</v>
      </c>
      <c r="H49" s="119">
        <f>("01:40")*8+("02:30")*5</f>
        <v>1.076388889</v>
      </c>
      <c r="I49" s="78"/>
      <c r="J49" s="50">
        <v>45900.0</v>
      </c>
      <c r="K49" s="30"/>
      <c r="L49" s="30"/>
      <c r="M49" s="30"/>
      <c r="N49" s="30"/>
      <c r="O49" s="30"/>
      <c r="P49" s="30"/>
      <c r="R49" s="54"/>
    </row>
    <row r="50" ht="15.75" customHeight="1">
      <c r="A50" s="78"/>
      <c r="B50" s="82"/>
      <c r="C50" s="79"/>
      <c r="D50" s="80"/>
      <c r="E50" s="80"/>
      <c r="F50" s="37" t="s">
        <v>18</v>
      </c>
      <c r="G50" s="38"/>
      <c r="H50" s="139">
        <f>"06:00"*10+"04:00"*13</f>
        <v>4.666666667</v>
      </c>
      <c r="I50" s="78"/>
      <c r="J50" s="84"/>
      <c r="K50" s="84"/>
      <c r="L50" s="84"/>
      <c r="M50" s="34" t="s">
        <v>17</v>
      </c>
      <c r="O50" s="119">
        <f>("01:40")*12+("02:30")*9</f>
        <v>1.770833333</v>
      </c>
      <c r="P50" s="36"/>
      <c r="R50" s="54"/>
    </row>
    <row r="51" ht="15.75" customHeight="1">
      <c r="A51" s="78"/>
      <c r="B51" s="84"/>
      <c r="C51" s="84"/>
      <c r="D51" s="84"/>
      <c r="E51" s="84"/>
      <c r="F51" s="84"/>
      <c r="G51" s="84"/>
      <c r="H51" s="84"/>
      <c r="I51" s="78"/>
      <c r="J51" s="78"/>
      <c r="K51" s="78"/>
      <c r="L51" s="78"/>
      <c r="M51" s="37" t="s">
        <v>18</v>
      </c>
      <c r="N51" s="38"/>
      <c r="O51" s="139">
        <f>"04:00"*21</f>
        <v>3.5</v>
      </c>
      <c r="P51" s="36"/>
      <c r="R51" s="54"/>
      <c r="S51" s="77" t="s">
        <v>115</v>
      </c>
    </row>
    <row r="52" ht="15.75" customHeight="1">
      <c r="B52" s="42"/>
      <c r="C52" s="43"/>
      <c r="D52" s="64" t="s">
        <v>64</v>
      </c>
      <c r="E52" s="65"/>
      <c r="F52" s="65"/>
      <c r="G52" s="43"/>
      <c r="H52" s="46"/>
      <c r="J52" s="42"/>
      <c r="K52" s="43"/>
      <c r="L52" s="64" t="s">
        <v>65</v>
      </c>
      <c r="M52" s="65"/>
      <c r="N52" s="65"/>
      <c r="O52" s="43"/>
      <c r="P52" s="46"/>
      <c r="R52" s="54"/>
    </row>
    <row r="53" ht="15.75" customHeight="1">
      <c r="B53" s="15" t="s">
        <v>3</v>
      </c>
      <c r="C53" s="16" t="s">
        <v>4</v>
      </c>
      <c r="D53" s="16" t="s">
        <v>5</v>
      </c>
      <c r="E53" s="16" t="s">
        <v>6</v>
      </c>
      <c r="F53" s="16" t="s">
        <v>7</v>
      </c>
      <c r="G53" s="16" t="s">
        <v>8</v>
      </c>
      <c r="H53" s="17" t="s">
        <v>9</v>
      </c>
      <c r="J53" s="15" t="s">
        <v>3</v>
      </c>
      <c r="K53" s="16" t="s">
        <v>4</v>
      </c>
      <c r="L53" s="16" t="s">
        <v>5</v>
      </c>
      <c r="M53" s="16" t="s">
        <v>6</v>
      </c>
      <c r="N53" s="16" t="s">
        <v>7</v>
      </c>
      <c r="O53" s="16" t="s">
        <v>8</v>
      </c>
      <c r="P53" s="17" t="s">
        <v>9</v>
      </c>
      <c r="R53" s="54"/>
    </row>
    <row r="54" ht="15.75" customHeight="1">
      <c r="B54" s="18"/>
      <c r="C54" s="174">
        <v>45901.0</v>
      </c>
      <c r="D54" s="174">
        <v>45902.0</v>
      </c>
      <c r="E54" s="173">
        <v>45903.0</v>
      </c>
      <c r="F54" s="174">
        <v>45904.0</v>
      </c>
      <c r="G54" s="173">
        <v>45905.0</v>
      </c>
      <c r="H54" s="50">
        <v>45906.0</v>
      </c>
      <c r="J54" s="18"/>
      <c r="K54" s="18"/>
      <c r="L54" s="18"/>
      <c r="M54" s="173">
        <v>45931.0</v>
      </c>
      <c r="N54" s="174">
        <v>45932.0</v>
      </c>
      <c r="O54" s="50">
        <v>45933.0</v>
      </c>
      <c r="P54" s="50">
        <v>45934.0</v>
      </c>
      <c r="R54" s="54"/>
    </row>
    <row r="55" ht="15.75" customHeight="1">
      <c r="B55" s="50">
        <v>45907.0</v>
      </c>
      <c r="C55" s="174">
        <v>45908.0</v>
      </c>
      <c r="D55" s="174">
        <v>45909.0</v>
      </c>
      <c r="E55" s="173">
        <v>45910.0</v>
      </c>
      <c r="F55" s="174">
        <v>45911.0</v>
      </c>
      <c r="G55" s="173">
        <v>45912.0</v>
      </c>
      <c r="H55" s="50">
        <v>45913.0</v>
      </c>
      <c r="J55" s="50">
        <v>45935.0</v>
      </c>
      <c r="K55" s="174">
        <v>45936.0</v>
      </c>
      <c r="L55" s="174">
        <v>45937.0</v>
      </c>
      <c r="M55" s="173">
        <v>45938.0</v>
      </c>
      <c r="N55" s="174">
        <v>45939.0</v>
      </c>
      <c r="O55" s="173">
        <v>45940.0</v>
      </c>
      <c r="P55" s="50">
        <v>45941.0</v>
      </c>
      <c r="R55" s="54"/>
    </row>
    <row r="56" ht="15.75" customHeight="1">
      <c r="B56" s="50">
        <v>45914.0</v>
      </c>
      <c r="C56" s="174">
        <v>45915.0</v>
      </c>
      <c r="D56" s="174">
        <v>45916.0</v>
      </c>
      <c r="E56" s="173">
        <v>45917.0</v>
      </c>
      <c r="F56" s="174">
        <v>45918.0</v>
      </c>
      <c r="G56" s="173">
        <v>45919.0</v>
      </c>
      <c r="H56" s="50">
        <v>45920.0</v>
      </c>
      <c r="J56" s="50">
        <v>45942.0</v>
      </c>
      <c r="K56" s="174">
        <v>45943.0</v>
      </c>
      <c r="L56" s="174">
        <v>45944.0</v>
      </c>
      <c r="M56" s="173">
        <v>45945.0</v>
      </c>
      <c r="N56" s="174">
        <v>45946.0</v>
      </c>
      <c r="O56" s="173">
        <v>45947.0</v>
      </c>
      <c r="P56" s="50">
        <v>45948.0</v>
      </c>
      <c r="R56" s="54"/>
    </row>
    <row r="57" ht="15.75" customHeight="1">
      <c r="B57" s="50">
        <v>45921.0</v>
      </c>
      <c r="C57" s="174">
        <v>45922.0</v>
      </c>
      <c r="D57" s="174">
        <v>45923.0</v>
      </c>
      <c r="E57" s="173">
        <v>45924.0</v>
      </c>
      <c r="F57" s="174">
        <v>45925.0</v>
      </c>
      <c r="G57" s="173">
        <v>45926.0</v>
      </c>
      <c r="H57" s="50">
        <v>45927.0</v>
      </c>
      <c r="J57" s="50">
        <v>45949.0</v>
      </c>
      <c r="K57" s="174">
        <v>45950.0</v>
      </c>
      <c r="L57" s="174">
        <v>45951.0</v>
      </c>
      <c r="M57" s="173">
        <v>45952.0</v>
      </c>
      <c r="N57" s="174">
        <v>45953.0</v>
      </c>
      <c r="O57" s="173">
        <v>45954.0</v>
      </c>
      <c r="P57" s="50">
        <v>45955.0</v>
      </c>
      <c r="R57" s="54"/>
    </row>
    <row r="58" ht="15.75" customHeight="1">
      <c r="B58" s="50">
        <v>45928.0</v>
      </c>
      <c r="C58" s="174">
        <v>45929.0</v>
      </c>
      <c r="D58" s="174">
        <v>45930.0</v>
      </c>
      <c r="E58" s="56"/>
      <c r="F58" s="56"/>
      <c r="G58" s="56"/>
      <c r="H58" s="56"/>
      <c r="J58" s="50">
        <v>45956.0</v>
      </c>
      <c r="K58" s="174">
        <v>45957.0</v>
      </c>
      <c r="L58" s="174">
        <v>45958.0</v>
      </c>
      <c r="M58" s="173">
        <v>45959.0</v>
      </c>
      <c r="N58" s="174">
        <v>45960.0</v>
      </c>
      <c r="O58" s="173">
        <v>45961.0</v>
      </c>
      <c r="P58" s="57"/>
      <c r="R58" s="2"/>
      <c r="S58" s="73" t="s">
        <v>116</v>
      </c>
    </row>
    <row r="59" ht="15.75" customHeight="1">
      <c r="B59" s="79"/>
      <c r="C59" s="79"/>
      <c r="D59" s="79"/>
      <c r="E59" s="79"/>
      <c r="F59" s="34" t="s">
        <v>17</v>
      </c>
      <c r="H59" s="119">
        <f>("01:40")*14+("02:30")*8</f>
        <v>1.805555556</v>
      </c>
      <c r="I59" s="78"/>
      <c r="J59" s="79"/>
      <c r="K59" s="79"/>
      <c r="L59" s="79"/>
      <c r="M59" s="80"/>
      <c r="N59" s="34" t="s">
        <v>17</v>
      </c>
      <c r="P59" s="119">
        <f>("01:40")*13+("02:30")*9</f>
        <v>1.840277778</v>
      </c>
      <c r="Q59" s="78"/>
      <c r="R59" s="2"/>
    </row>
    <row r="60" ht="15.75" customHeight="1">
      <c r="B60" s="79"/>
      <c r="C60" s="79"/>
      <c r="D60" s="79"/>
      <c r="E60" s="79"/>
      <c r="F60" s="37" t="s">
        <v>18</v>
      </c>
      <c r="G60" s="38"/>
      <c r="H60" s="139">
        <f>"04:00"*22</f>
        <v>3.666666667</v>
      </c>
      <c r="I60" s="78"/>
      <c r="J60" s="79"/>
      <c r="K60" s="79"/>
      <c r="L60" s="79"/>
      <c r="M60" s="80"/>
      <c r="N60" s="37" t="s">
        <v>18</v>
      </c>
      <c r="O60" s="38"/>
      <c r="P60" s="139">
        <f>"04:00"*22</f>
        <v>3.666666667</v>
      </c>
      <c r="Q60" s="78"/>
      <c r="R60" s="2"/>
    </row>
    <row r="61" ht="15.75" customHeight="1">
      <c r="B61" s="79"/>
      <c r="C61" s="79"/>
      <c r="D61" s="79"/>
      <c r="E61" s="79"/>
      <c r="F61" s="79"/>
      <c r="G61" s="79"/>
      <c r="H61" s="82"/>
      <c r="I61" s="78"/>
      <c r="J61" s="79"/>
      <c r="K61" s="79"/>
      <c r="L61" s="79"/>
      <c r="M61" s="80"/>
      <c r="N61" s="80"/>
      <c r="O61" s="80"/>
      <c r="P61" s="80"/>
      <c r="Q61" s="78"/>
      <c r="R61" s="2"/>
    </row>
    <row r="62" ht="15.75" customHeight="1">
      <c r="B62" s="36"/>
      <c r="C62" s="36"/>
      <c r="D62" s="36"/>
      <c r="E62" s="36"/>
      <c r="F62" s="36"/>
      <c r="G62" s="36"/>
      <c r="H62" s="36"/>
      <c r="J62" s="36"/>
      <c r="K62" s="36"/>
      <c r="L62" s="36"/>
      <c r="M62" s="36"/>
      <c r="N62" s="36"/>
      <c r="O62" s="36"/>
      <c r="P62" s="36"/>
      <c r="R62" s="2"/>
    </row>
    <row r="63" ht="15.75" customHeight="1">
      <c r="B63" s="42"/>
      <c r="C63" s="43"/>
      <c r="D63" s="64" t="s">
        <v>67</v>
      </c>
      <c r="E63" s="65"/>
      <c r="F63" s="65"/>
      <c r="G63" s="43"/>
      <c r="H63" s="46"/>
      <c r="J63" s="42"/>
      <c r="K63" s="43"/>
      <c r="L63" s="64" t="s">
        <v>68</v>
      </c>
      <c r="M63" s="65"/>
      <c r="N63" s="65"/>
      <c r="O63" s="43"/>
      <c r="P63" s="46"/>
      <c r="R63" s="2"/>
      <c r="S63" s="2"/>
      <c r="T63" s="2"/>
      <c r="U63" s="2"/>
      <c r="V63" s="2"/>
      <c r="W63" s="2"/>
      <c r="X63" s="2"/>
    </row>
    <row r="64" ht="15.75" customHeight="1">
      <c r="B64" s="15" t="s">
        <v>3</v>
      </c>
      <c r="C64" s="16" t="s">
        <v>4</v>
      </c>
      <c r="D64" s="16" t="s">
        <v>5</v>
      </c>
      <c r="E64" s="16" t="s">
        <v>6</v>
      </c>
      <c r="F64" s="16" t="s">
        <v>7</v>
      </c>
      <c r="G64" s="16" t="s">
        <v>8</v>
      </c>
      <c r="H64" s="17" t="s">
        <v>9</v>
      </c>
      <c r="J64" s="15" t="s">
        <v>3</v>
      </c>
      <c r="K64" s="16" t="s">
        <v>4</v>
      </c>
      <c r="L64" s="16" t="s">
        <v>5</v>
      </c>
      <c r="M64" s="16" t="s">
        <v>6</v>
      </c>
      <c r="N64" s="16" t="s">
        <v>7</v>
      </c>
      <c r="O64" s="16" t="s">
        <v>8</v>
      </c>
      <c r="P64" s="17" t="s">
        <v>9</v>
      </c>
      <c r="R64" s="2"/>
      <c r="S64" s="2"/>
      <c r="T64" s="2"/>
      <c r="U64" s="2"/>
      <c r="V64" s="2"/>
      <c r="W64" s="2"/>
      <c r="X64" s="2"/>
    </row>
    <row r="65" ht="15.75" customHeight="1">
      <c r="B65" s="30"/>
      <c r="C65" s="74"/>
      <c r="D65" s="74"/>
      <c r="E65" s="74"/>
      <c r="F65" s="74"/>
      <c r="G65" s="74"/>
      <c r="H65" s="50">
        <v>45962.0</v>
      </c>
      <c r="J65" s="30"/>
      <c r="K65" s="174">
        <v>45992.0</v>
      </c>
      <c r="L65" s="174">
        <v>45993.0</v>
      </c>
      <c r="M65" s="173">
        <v>45994.0</v>
      </c>
      <c r="N65" s="174">
        <v>45995.0</v>
      </c>
      <c r="O65" s="173">
        <v>45996.0</v>
      </c>
      <c r="P65" s="50">
        <v>45997.0</v>
      </c>
      <c r="R65" s="54"/>
      <c r="S65" s="2"/>
      <c r="T65" s="2"/>
      <c r="U65" s="2"/>
      <c r="V65" s="2"/>
      <c r="W65" s="2"/>
      <c r="X65" s="2"/>
    </row>
    <row r="66" ht="15.75" customHeight="1">
      <c r="B66" s="50">
        <v>45963.0</v>
      </c>
      <c r="C66" s="174">
        <v>45964.0</v>
      </c>
      <c r="D66" s="174">
        <v>45965.0</v>
      </c>
      <c r="E66" s="173">
        <v>45966.0</v>
      </c>
      <c r="F66" s="174">
        <v>45967.0</v>
      </c>
      <c r="G66" s="173">
        <v>45968.0</v>
      </c>
      <c r="H66" s="50">
        <v>45969.0</v>
      </c>
      <c r="I66" s="51"/>
      <c r="J66" s="50">
        <v>45998.0</v>
      </c>
      <c r="K66" s="174">
        <v>45754.0</v>
      </c>
      <c r="L66" s="174">
        <v>45755.0</v>
      </c>
      <c r="M66" s="173">
        <v>45756.0</v>
      </c>
      <c r="N66" s="174">
        <v>45757.0</v>
      </c>
      <c r="O66" s="175">
        <v>46003.0</v>
      </c>
      <c r="P66" s="50">
        <v>46004.0</v>
      </c>
      <c r="R66" s="54"/>
      <c r="S66" s="2"/>
      <c r="T66" s="2"/>
      <c r="U66" s="2"/>
      <c r="V66" s="2"/>
      <c r="W66" s="2"/>
      <c r="X66" s="2"/>
    </row>
    <row r="67" ht="15.75" customHeight="1">
      <c r="B67" s="50">
        <v>45970.0</v>
      </c>
      <c r="C67" s="174">
        <v>45971.0</v>
      </c>
      <c r="D67" s="174">
        <v>45972.0</v>
      </c>
      <c r="E67" s="173">
        <v>45973.0</v>
      </c>
      <c r="F67" s="174">
        <v>45974.0</v>
      </c>
      <c r="G67" s="173">
        <v>45975.0</v>
      </c>
      <c r="H67" s="50">
        <v>45976.0</v>
      </c>
      <c r="J67" s="50">
        <v>46005.0</v>
      </c>
      <c r="K67" s="49">
        <v>46006.0</v>
      </c>
      <c r="L67" s="49">
        <v>46007.0</v>
      </c>
      <c r="M67" s="49">
        <v>46008.0</v>
      </c>
      <c r="N67" s="49">
        <v>46009.0</v>
      </c>
      <c r="O67" s="49">
        <v>46010.0</v>
      </c>
      <c r="P67" s="50">
        <v>46011.0</v>
      </c>
      <c r="R67" s="54"/>
      <c r="S67" s="2"/>
      <c r="T67" s="2"/>
      <c r="U67" s="2"/>
      <c r="V67" s="2"/>
      <c r="W67" s="2"/>
      <c r="X67" s="2"/>
    </row>
    <row r="68" ht="15.75" customHeight="1">
      <c r="B68" s="50">
        <v>45977.0</v>
      </c>
      <c r="C68" s="174">
        <v>45978.0</v>
      </c>
      <c r="D68" s="174">
        <v>45979.0</v>
      </c>
      <c r="E68" s="173">
        <v>45980.0</v>
      </c>
      <c r="F68" s="50">
        <v>45981.0</v>
      </c>
      <c r="G68" s="173">
        <v>45982.0</v>
      </c>
      <c r="H68" s="50">
        <v>45983.0</v>
      </c>
      <c r="J68" s="50">
        <v>46012.0</v>
      </c>
      <c r="K68" s="49">
        <v>46013.0</v>
      </c>
      <c r="L68" s="49">
        <v>46014.0</v>
      </c>
      <c r="M68" s="49">
        <v>46015.0</v>
      </c>
      <c r="N68" s="50">
        <v>46016.0</v>
      </c>
      <c r="O68" s="49">
        <v>46017.0</v>
      </c>
      <c r="P68" s="50">
        <v>46018.0</v>
      </c>
      <c r="R68" s="54"/>
      <c r="S68" s="2"/>
      <c r="T68" s="2"/>
      <c r="U68" s="2"/>
      <c r="V68" s="2"/>
      <c r="W68" s="2"/>
      <c r="X68" s="2"/>
    </row>
    <row r="69" ht="15.75" customHeight="1">
      <c r="B69" s="50">
        <v>45984.0</v>
      </c>
      <c r="C69" s="174">
        <v>45985.0</v>
      </c>
      <c r="D69" s="174">
        <v>45986.0</v>
      </c>
      <c r="E69" s="173">
        <v>45987.0</v>
      </c>
      <c r="F69" s="174">
        <v>45988.0</v>
      </c>
      <c r="G69" s="173">
        <v>45989.0</v>
      </c>
      <c r="H69" s="50">
        <v>45990.0</v>
      </c>
      <c r="J69" s="50">
        <v>46019.0</v>
      </c>
      <c r="K69" s="49">
        <v>46020.0</v>
      </c>
      <c r="L69" s="49">
        <v>46021.0</v>
      </c>
      <c r="M69" s="49">
        <v>46022.0</v>
      </c>
      <c r="N69" s="56"/>
      <c r="O69" s="56"/>
      <c r="P69" s="57"/>
      <c r="R69" s="2"/>
      <c r="S69" s="2"/>
      <c r="T69" s="2"/>
      <c r="U69" s="2"/>
      <c r="V69" s="2"/>
      <c r="W69" s="2"/>
      <c r="X69" s="2"/>
    </row>
    <row r="70" ht="15.75" customHeight="1">
      <c r="B70" s="50">
        <v>45991.0</v>
      </c>
      <c r="C70" s="36"/>
      <c r="D70" s="36"/>
      <c r="E70" s="36"/>
      <c r="I70" s="78"/>
      <c r="N70" s="34" t="s">
        <v>17</v>
      </c>
      <c r="P70" s="119">
        <f>("01:40")*6+("02:30")*4</f>
        <v>0.8333333333</v>
      </c>
      <c r="R70" s="2"/>
      <c r="S70" s="2"/>
      <c r="T70" s="2"/>
      <c r="U70" s="2"/>
      <c r="V70" s="2"/>
      <c r="W70" s="2"/>
      <c r="X70" s="2"/>
    </row>
    <row r="71" ht="15.75" customHeight="1">
      <c r="F71" s="34" t="s">
        <v>17</v>
      </c>
      <c r="H71" s="119">
        <f>("01:40")*11+("02:30")*8</f>
        <v>1.597222222</v>
      </c>
      <c r="I71" s="78"/>
      <c r="J71" s="36"/>
      <c r="K71" s="36"/>
      <c r="L71" s="36"/>
      <c r="M71" s="36"/>
      <c r="N71" s="37" t="s">
        <v>18</v>
      </c>
      <c r="O71" s="38"/>
      <c r="P71" s="139">
        <f>"04:00"*10</f>
        <v>1.666666667</v>
      </c>
      <c r="Q71" s="78"/>
      <c r="R71" s="2"/>
      <c r="S71" s="2"/>
      <c r="T71" s="2"/>
      <c r="U71" s="2"/>
      <c r="V71" s="2"/>
      <c r="W71" s="2"/>
      <c r="X71" s="2"/>
    </row>
    <row r="72" ht="15.75" customHeight="1">
      <c r="B72" s="86"/>
      <c r="F72" s="37" t="s">
        <v>18</v>
      </c>
      <c r="G72" s="38"/>
      <c r="H72" s="139">
        <f>"04:00"*19</f>
        <v>3.166666667</v>
      </c>
      <c r="Q72" s="78"/>
      <c r="R72" s="2"/>
      <c r="S72" s="2"/>
      <c r="T72" s="2"/>
      <c r="U72" s="2"/>
      <c r="V72" s="2"/>
      <c r="W72" s="2"/>
      <c r="X72" s="2"/>
    </row>
    <row r="73" ht="15.75" customHeight="1">
      <c r="B73" s="51"/>
      <c r="H73" s="67"/>
      <c r="R73" s="2"/>
      <c r="S73" s="2"/>
      <c r="T73" s="2"/>
      <c r="U73" s="2"/>
      <c r="V73" s="2"/>
      <c r="W73" s="2"/>
      <c r="X73" s="2"/>
    </row>
    <row r="74" ht="15.75" customHeight="1">
      <c r="P74" s="67"/>
      <c r="R74" s="2"/>
      <c r="S74" s="2"/>
      <c r="T74" s="2"/>
      <c r="U74" s="2"/>
      <c r="V74" s="2"/>
      <c r="W74" s="2"/>
      <c r="X74" s="2"/>
    </row>
    <row r="75" ht="15.75" customHeight="1">
      <c r="R75" s="2"/>
      <c r="S75" s="2"/>
      <c r="T75" s="2"/>
      <c r="U75" s="2"/>
      <c r="V75" s="2"/>
      <c r="W75" s="2"/>
      <c r="X75" s="2"/>
    </row>
    <row r="76" ht="15.75" customHeight="1">
      <c r="R76" s="2"/>
      <c r="S76" s="2"/>
      <c r="T76" s="2"/>
      <c r="U76" s="2"/>
      <c r="V76" s="2"/>
      <c r="W76" s="2"/>
      <c r="X76" s="2"/>
    </row>
    <row r="77" ht="15.75" customHeight="1">
      <c r="R77" s="2"/>
      <c r="S77" s="2"/>
      <c r="T77" s="2"/>
      <c r="U77" s="2"/>
      <c r="V77" s="2"/>
      <c r="W77" s="2"/>
      <c r="X77" s="2"/>
    </row>
    <row r="78" ht="15.75" customHeight="1">
      <c r="R78" s="2"/>
      <c r="S78" s="2"/>
      <c r="T78" s="2"/>
      <c r="U78" s="2"/>
      <c r="V78" s="2"/>
      <c r="W78" s="2"/>
      <c r="X78" s="2"/>
    </row>
    <row r="79" ht="15.75" customHeight="1">
      <c r="R79" s="2"/>
      <c r="S79" s="2"/>
      <c r="T79" s="2"/>
      <c r="U79" s="2"/>
      <c r="V79" s="2"/>
      <c r="W79" s="2"/>
      <c r="X79" s="2"/>
    </row>
    <row r="80" ht="15.75" customHeight="1">
      <c r="R80" s="2"/>
      <c r="S80" s="2"/>
      <c r="T80" s="2"/>
      <c r="U80" s="2"/>
      <c r="V80" s="2"/>
      <c r="W80" s="2"/>
      <c r="X80" s="2"/>
    </row>
    <row r="81" ht="15.75" customHeight="1">
      <c r="R81" s="2"/>
      <c r="S81" s="2"/>
      <c r="T81" s="2"/>
      <c r="U81" s="2"/>
      <c r="V81" s="2"/>
      <c r="W81" s="2"/>
      <c r="X81" s="2"/>
    </row>
    <row r="82" ht="15.75" customHeight="1">
      <c r="R82" s="2"/>
      <c r="S82" s="2"/>
      <c r="T82" s="2"/>
      <c r="U82" s="2"/>
      <c r="V82" s="2"/>
      <c r="W82" s="2"/>
      <c r="X82" s="2"/>
    </row>
    <row r="83" ht="15.75" customHeight="1">
      <c r="R83" s="2"/>
      <c r="S83" s="2"/>
      <c r="T83" s="2"/>
      <c r="U83" s="2"/>
      <c r="V83" s="2"/>
      <c r="W83" s="2"/>
      <c r="X83" s="2"/>
    </row>
    <row r="84" ht="15.75" customHeight="1">
      <c r="R84" s="2"/>
      <c r="S84" s="2"/>
      <c r="T84" s="2"/>
      <c r="U84" s="2"/>
      <c r="V84" s="2"/>
      <c r="W84" s="2"/>
      <c r="X84" s="2"/>
    </row>
    <row r="85" ht="15.75" customHeight="1">
      <c r="R85" s="2"/>
      <c r="S85" s="2"/>
      <c r="T85" s="2"/>
      <c r="U85" s="2"/>
      <c r="V85" s="2"/>
      <c r="W85" s="2"/>
      <c r="X85" s="2"/>
    </row>
    <row r="86" ht="15.75" customHeight="1">
      <c r="R86" s="2"/>
      <c r="S86" s="2"/>
      <c r="T86" s="2"/>
      <c r="U86" s="2"/>
      <c r="V86" s="2"/>
      <c r="W86" s="2"/>
      <c r="X86" s="2"/>
    </row>
    <row r="87" ht="15.75" customHeight="1">
      <c r="R87" s="2"/>
      <c r="S87" s="2"/>
      <c r="T87" s="2"/>
      <c r="U87" s="2"/>
      <c r="V87" s="2"/>
      <c r="W87" s="2"/>
      <c r="X87" s="2"/>
    </row>
    <row r="88" ht="15.75" customHeight="1">
      <c r="R88" s="2"/>
      <c r="S88" s="2"/>
      <c r="T88" s="2"/>
      <c r="U88" s="2"/>
      <c r="V88" s="2"/>
      <c r="W88" s="2"/>
      <c r="X88" s="2"/>
    </row>
    <row r="89" ht="15.75" customHeight="1">
      <c r="R89" s="2"/>
      <c r="S89" s="2"/>
      <c r="T89" s="2"/>
      <c r="U89" s="2"/>
      <c r="V89" s="2"/>
      <c r="W89" s="2"/>
      <c r="X89" s="2"/>
    </row>
    <row r="90" ht="15.75" customHeight="1">
      <c r="R90" s="2"/>
      <c r="S90" s="2"/>
      <c r="T90" s="2"/>
      <c r="U90" s="2"/>
      <c r="V90" s="2"/>
      <c r="W90" s="2"/>
      <c r="X90" s="2"/>
    </row>
    <row r="91" ht="15.75" customHeight="1">
      <c r="R91" s="2"/>
      <c r="S91" s="2"/>
      <c r="T91" s="2"/>
      <c r="U91" s="2"/>
      <c r="V91" s="2"/>
      <c r="W91" s="2"/>
      <c r="X91" s="2"/>
    </row>
    <row r="92" ht="15.75" customHeight="1">
      <c r="R92" s="2"/>
      <c r="S92" s="2"/>
      <c r="T92" s="2"/>
      <c r="U92" s="2"/>
      <c r="V92" s="2"/>
      <c r="W92" s="2"/>
      <c r="X92" s="2"/>
    </row>
    <row r="93" ht="15.75" customHeight="1">
      <c r="R93" s="2"/>
      <c r="S93" s="2"/>
      <c r="T93" s="2"/>
      <c r="U93" s="2"/>
      <c r="V93" s="2"/>
      <c r="W93" s="2"/>
      <c r="X93" s="2"/>
    </row>
    <row r="94" ht="15.75" customHeight="1">
      <c r="R94" s="2"/>
      <c r="S94" s="2"/>
      <c r="T94" s="2"/>
      <c r="U94" s="2"/>
      <c r="V94" s="2"/>
      <c r="W94" s="2"/>
      <c r="X94" s="2"/>
    </row>
    <row r="95" ht="15.75" customHeight="1">
      <c r="R95" s="2"/>
      <c r="S95" s="2"/>
      <c r="T95" s="2"/>
      <c r="U95" s="2"/>
      <c r="V95" s="2"/>
      <c r="W95" s="2"/>
      <c r="X95" s="2"/>
    </row>
    <row r="96" ht="15.75" customHeight="1">
      <c r="R96" s="2"/>
      <c r="S96" s="2"/>
      <c r="T96" s="2"/>
      <c r="U96" s="2"/>
      <c r="V96" s="2"/>
      <c r="W96" s="2"/>
      <c r="X96" s="2"/>
    </row>
    <row r="97" ht="15.75" customHeight="1">
      <c r="R97" s="2"/>
      <c r="S97" s="2"/>
      <c r="T97" s="2"/>
      <c r="U97" s="2"/>
      <c r="V97" s="2"/>
      <c r="W97" s="2"/>
      <c r="X97" s="2"/>
    </row>
    <row r="98" ht="15.75" customHeight="1">
      <c r="R98" s="2"/>
      <c r="S98" s="2"/>
      <c r="T98" s="2"/>
      <c r="U98" s="2"/>
      <c r="V98" s="2"/>
      <c r="W98" s="2"/>
      <c r="X98" s="2"/>
    </row>
    <row r="99" ht="15.75" customHeight="1">
      <c r="R99" s="2"/>
      <c r="S99" s="2"/>
      <c r="T99" s="2"/>
      <c r="U99" s="2"/>
      <c r="V99" s="2"/>
      <c r="W99" s="2"/>
      <c r="X99" s="2"/>
    </row>
    <row r="100" ht="15.75" customHeight="1">
      <c r="R100" s="2"/>
      <c r="S100" s="2"/>
      <c r="T100" s="2"/>
      <c r="U100" s="2"/>
      <c r="V100" s="2"/>
      <c r="W100" s="2"/>
      <c r="X100" s="2"/>
    </row>
    <row r="101" ht="15.75" customHeight="1">
      <c r="R101" s="2"/>
      <c r="S101" s="2"/>
      <c r="T101" s="2"/>
      <c r="U101" s="2"/>
      <c r="V101" s="2"/>
      <c r="W101" s="2"/>
      <c r="X101" s="2"/>
    </row>
    <row r="102" ht="15.75" customHeight="1">
      <c r="R102" s="2"/>
      <c r="S102" s="2"/>
      <c r="T102" s="2"/>
      <c r="U102" s="2"/>
      <c r="V102" s="2"/>
      <c r="W102" s="2"/>
      <c r="X102" s="2"/>
    </row>
    <row r="103" ht="15.75" customHeight="1">
      <c r="R103" s="2"/>
      <c r="S103" s="2"/>
      <c r="T103" s="2"/>
      <c r="U103" s="2"/>
      <c r="V103" s="2"/>
      <c r="W103" s="2"/>
      <c r="X103" s="2"/>
    </row>
    <row r="104" ht="15.75" customHeight="1">
      <c r="R104" s="2"/>
      <c r="S104" s="2"/>
      <c r="T104" s="2"/>
      <c r="U104" s="2"/>
      <c r="V104" s="2"/>
      <c r="W104" s="2"/>
      <c r="X104" s="2"/>
    </row>
    <row r="105" ht="15.75" customHeight="1">
      <c r="R105" s="2"/>
      <c r="S105" s="2"/>
      <c r="T105" s="2"/>
      <c r="U105" s="2"/>
      <c r="V105" s="2"/>
      <c r="W105" s="2"/>
      <c r="X105" s="2"/>
    </row>
    <row r="106" ht="15.75" customHeight="1">
      <c r="R106" s="2"/>
      <c r="S106" s="2"/>
      <c r="T106" s="2"/>
      <c r="U106" s="2"/>
      <c r="V106" s="2"/>
      <c r="W106" s="2"/>
      <c r="X106" s="2"/>
    </row>
    <row r="107" ht="15.75" customHeight="1">
      <c r="R107" s="2"/>
      <c r="S107" s="2"/>
      <c r="T107" s="2"/>
      <c r="U107" s="2"/>
      <c r="V107" s="2"/>
      <c r="W107" s="2"/>
      <c r="X107" s="2"/>
    </row>
    <row r="108" ht="15.75" customHeight="1">
      <c r="R108" s="2"/>
      <c r="S108" s="2"/>
      <c r="T108" s="2"/>
      <c r="U108" s="2"/>
      <c r="V108" s="2"/>
      <c r="W108" s="2"/>
      <c r="X108" s="2"/>
    </row>
    <row r="109" ht="15.75" customHeight="1">
      <c r="R109" s="2"/>
      <c r="S109" s="2"/>
      <c r="T109" s="2"/>
      <c r="U109" s="2"/>
      <c r="V109" s="2"/>
      <c r="W109" s="2"/>
      <c r="X109" s="2"/>
    </row>
    <row r="110" ht="15.75" customHeight="1">
      <c r="R110" s="2"/>
      <c r="S110" s="2"/>
      <c r="T110" s="2"/>
      <c r="U110" s="2"/>
      <c r="V110" s="2"/>
      <c r="W110" s="2"/>
      <c r="X110" s="2"/>
    </row>
    <row r="111" ht="15.75" customHeight="1">
      <c r="R111" s="2"/>
      <c r="S111" s="2"/>
      <c r="T111" s="2"/>
      <c r="U111" s="2"/>
      <c r="V111" s="2"/>
      <c r="W111" s="2"/>
      <c r="X111" s="2"/>
    </row>
    <row r="112" ht="15.75" customHeight="1">
      <c r="R112" s="2"/>
      <c r="S112" s="2"/>
      <c r="T112" s="2"/>
      <c r="U112" s="2"/>
      <c r="V112" s="2"/>
      <c r="W112" s="2"/>
      <c r="X112" s="2"/>
    </row>
    <row r="113" ht="15.75" customHeight="1">
      <c r="R113" s="2"/>
      <c r="S113" s="2"/>
      <c r="T113" s="2"/>
      <c r="U113" s="2"/>
      <c r="V113" s="2"/>
      <c r="W113" s="2"/>
      <c r="X113" s="2"/>
    </row>
    <row r="114" ht="15.75" customHeight="1">
      <c r="R114" s="2"/>
      <c r="S114" s="2"/>
      <c r="T114" s="2"/>
      <c r="U114" s="2"/>
      <c r="V114" s="2"/>
      <c r="W114" s="2"/>
      <c r="X114" s="2"/>
    </row>
    <row r="115" ht="15.75" customHeight="1">
      <c r="R115" s="2"/>
      <c r="S115" s="2"/>
      <c r="T115" s="2"/>
      <c r="U115" s="2"/>
      <c r="V115" s="2"/>
      <c r="W115" s="2"/>
      <c r="X115" s="2"/>
    </row>
    <row r="116" ht="15.75" customHeight="1">
      <c r="R116" s="2"/>
      <c r="S116" s="2"/>
      <c r="T116" s="2"/>
      <c r="U116" s="2"/>
      <c r="V116" s="2"/>
      <c r="W116" s="2"/>
      <c r="X116" s="2"/>
    </row>
    <row r="117" ht="15.75" customHeight="1">
      <c r="R117" s="2"/>
      <c r="S117" s="2"/>
      <c r="T117" s="2"/>
      <c r="U117" s="2"/>
      <c r="V117" s="2"/>
      <c r="W117" s="2"/>
      <c r="X117" s="2"/>
    </row>
    <row r="118" ht="15.75" customHeight="1">
      <c r="R118" s="2"/>
      <c r="S118" s="2"/>
      <c r="T118" s="2"/>
      <c r="U118" s="2"/>
      <c r="V118" s="2"/>
      <c r="W118" s="2"/>
      <c r="X118" s="2"/>
    </row>
    <row r="119" ht="15.75" customHeight="1">
      <c r="R119" s="2"/>
      <c r="S119" s="2"/>
      <c r="T119" s="2"/>
      <c r="U119" s="2"/>
      <c r="V119" s="2"/>
      <c r="W119" s="2"/>
      <c r="X119" s="2"/>
    </row>
    <row r="120" ht="15.75" customHeight="1">
      <c r="R120" s="2"/>
      <c r="S120" s="2"/>
      <c r="T120" s="2"/>
      <c r="U120" s="2"/>
      <c r="V120" s="2"/>
      <c r="W120" s="2"/>
      <c r="X120" s="2"/>
    </row>
    <row r="121" ht="15.75" customHeight="1">
      <c r="R121" s="2"/>
      <c r="S121" s="2"/>
      <c r="T121" s="2"/>
      <c r="U121" s="2"/>
      <c r="V121" s="2"/>
      <c r="W121" s="2"/>
      <c r="X121" s="2"/>
    </row>
    <row r="122" ht="15.75" customHeight="1">
      <c r="R122" s="2"/>
      <c r="S122" s="2"/>
      <c r="T122" s="2"/>
      <c r="U122" s="2"/>
      <c r="V122" s="2"/>
      <c r="W122" s="2"/>
      <c r="X122" s="2"/>
    </row>
    <row r="123" ht="15.75" customHeight="1">
      <c r="R123" s="2"/>
      <c r="S123" s="2"/>
      <c r="T123" s="2"/>
      <c r="U123" s="2"/>
      <c r="V123" s="2"/>
      <c r="W123" s="2"/>
      <c r="X123" s="2"/>
    </row>
    <row r="124" ht="15.75" customHeight="1">
      <c r="R124" s="2"/>
      <c r="S124" s="2"/>
      <c r="T124" s="2"/>
      <c r="U124" s="2"/>
      <c r="V124" s="2"/>
      <c r="W124" s="2"/>
      <c r="X124" s="2"/>
    </row>
    <row r="125" ht="15.75" customHeight="1">
      <c r="R125" s="2"/>
      <c r="S125" s="2"/>
      <c r="T125" s="2"/>
      <c r="U125" s="2"/>
      <c r="V125" s="2"/>
      <c r="W125" s="2"/>
      <c r="X125" s="2"/>
    </row>
    <row r="126" ht="15.75" customHeight="1">
      <c r="R126" s="2"/>
      <c r="S126" s="2"/>
      <c r="T126" s="2"/>
      <c r="U126" s="2"/>
      <c r="V126" s="2"/>
      <c r="W126" s="2"/>
      <c r="X126" s="2"/>
    </row>
    <row r="127" ht="15.75" customHeight="1">
      <c r="R127" s="2"/>
      <c r="S127" s="2"/>
      <c r="T127" s="2"/>
      <c r="U127" s="2"/>
      <c r="V127" s="2"/>
      <c r="W127" s="2"/>
      <c r="X127" s="2"/>
    </row>
    <row r="128" ht="15.75" customHeight="1">
      <c r="R128" s="2"/>
      <c r="S128" s="2"/>
      <c r="T128" s="2"/>
      <c r="U128" s="2"/>
      <c r="V128" s="2"/>
      <c r="W128" s="2"/>
      <c r="X128" s="2"/>
    </row>
    <row r="129" ht="15.75" customHeight="1">
      <c r="R129" s="2"/>
      <c r="S129" s="2"/>
      <c r="T129" s="2"/>
      <c r="U129" s="2"/>
      <c r="V129" s="2"/>
      <c r="W129" s="2"/>
      <c r="X129" s="2"/>
    </row>
    <row r="130" ht="15.75" customHeight="1">
      <c r="R130" s="2"/>
      <c r="S130" s="2"/>
      <c r="T130" s="2"/>
      <c r="U130" s="2"/>
      <c r="V130" s="2"/>
      <c r="W130" s="2"/>
      <c r="X130" s="2"/>
    </row>
    <row r="131" ht="15.75" customHeight="1">
      <c r="R131" s="2"/>
      <c r="S131" s="2"/>
      <c r="T131" s="2"/>
      <c r="U131" s="2"/>
      <c r="V131" s="2"/>
      <c r="W131" s="2"/>
      <c r="X131" s="2"/>
    </row>
    <row r="132" ht="15.75" customHeight="1">
      <c r="R132" s="2"/>
      <c r="S132" s="2"/>
      <c r="T132" s="2"/>
      <c r="U132" s="2"/>
      <c r="V132" s="2"/>
      <c r="W132" s="2"/>
      <c r="X132" s="2"/>
    </row>
    <row r="133" ht="15.75" customHeight="1">
      <c r="R133" s="2"/>
      <c r="S133" s="2"/>
      <c r="T133" s="2"/>
      <c r="U133" s="2"/>
      <c r="V133" s="2"/>
      <c r="W133" s="2"/>
      <c r="X133" s="2"/>
    </row>
    <row r="134" ht="15.75" customHeight="1">
      <c r="R134" s="2"/>
      <c r="S134" s="2"/>
      <c r="T134" s="2"/>
      <c r="U134" s="2"/>
      <c r="V134" s="2"/>
      <c r="W134" s="2"/>
      <c r="X134" s="2"/>
    </row>
    <row r="135" ht="15.75" customHeight="1">
      <c r="R135" s="2"/>
      <c r="S135" s="2"/>
      <c r="T135" s="2"/>
      <c r="U135" s="2"/>
      <c r="V135" s="2"/>
      <c r="W135" s="2"/>
      <c r="X135" s="2"/>
    </row>
    <row r="136" ht="15.75" customHeight="1">
      <c r="R136" s="2"/>
      <c r="S136" s="2"/>
      <c r="T136" s="2"/>
      <c r="U136" s="2"/>
      <c r="V136" s="2"/>
      <c r="W136" s="2"/>
      <c r="X136" s="2"/>
    </row>
    <row r="137" ht="15.75" customHeight="1">
      <c r="R137" s="2"/>
      <c r="S137" s="2"/>
      <c r="T137" s="2"/>
      <c r="U137" s="2"/>
      <c r="V137" s="2"/>
      <c r="W137" s="2"/>
      <c r="X137" s="2"/>
    </row>
    <row r="138" ht="15.75" customHeight="1">
      <c r="R138" s="2"/>
      <c r="S138" s="2"/>
      <c r="T138" s="2"/>
      <c r="U138" s="2"/>
      <c r="V138" s="2"/>
      <c r="W138" s="2"/>
      <c r="X138" s="2"/>
    </row>
    <row r="139" ht="15.75" customHeight="1">
      <c r="R139" s="2"/>
      <c r="S139" s="2"/>
      <c r="T139" s="2"/>
      <c r="U139" s="2"/>
      <c r="V139" s="2"/>
      <c r="W139" s="2"/>
      <c r="X139" s="2"/>
    </row>
    <row r="140" ht="15.75" customHeight="1">
      <c r="R140" s="2"/>
      <c r="S140" s="2"/>
      <c r="T140" s="2"/>
      <c r="U140" s="2"/>
      <c r="V140" s="2"/>
      <c r="W140" s="2"/>
      <c r="X140" s="2"/>
    </row>
    <row r="141" ht="15.75" customHeight="1">
      <c r="R141" s="2"/>
      <c r="S141" s="2"/>
      <c r="T141" s="2"/>
      <c r="U141" s="2"/>
      <c r="V141" s="2"/>
      <c r="W141" s="2"/>
      <c r="X141" s="2"/>
    </row>
    <row r="142" ht="15.75" customHeight="1">
      <c r="R142" s="2"/>
      <c r="S142" s="2"/>
      <c r="T142" s="2"/>
      <c r="U142" s="2"/>
      <c r="V142" s="2"/>
      <c r="W142" s="2"/>
      <c r="X142" s="2"/>
    </row>
    <row r="143" ht="15.75" customHeight="1">
      <c r="R143" s="2"/>
      <c r="S143" s="2"/>
      <c r="T143" s="2"/>
      <c r="U143" s="2"/>
      <c r="V143" s="2"/>
      <c r="W143" s="2"/>
      <c r="X143" s="2"/>
    </row>
    <row r="144" ht="15.75" customHeight="1">
      <c r="R144" s="2"/>
      <c r="S144" s="2"/>
      <c r="T144" s="2"/>
      <c r="U144" s="2"/>
      <c r="V144" s="2"/>
      <c r="W144" s="2"/>
      <c r="X144" s="2"/>
    </row>
    <row r="145" ht="15.75" customHeight="1">
      <c r="R145" s="2"/>
      <c r="S145" s="2"/>
      <c r="T145" s="2"/>
      <c r="U145" s="2"/>
      <c r="V145" s="2"/>
      <c r="W145" s="2"/>
      <c r="X145" s="2"/>
    </row>
    <row r="146" ht="15.75" customHeight="1">
      <c r="R146" s="2"/>
      <c r="S146" s="2"/>
      <c r="T146" s="2"/>
      <c r="U146" s="2"/>
      <c r="V146" s="2"/>
      <c r="W146" s="2"/>
      <c r="X146" s="2"/>
    </row>
    <row r="147" ht="15.75" customHeight="1">
      <c r="R147" s="2"/>
      <c r="S147" s="2"/>
      <c r="T147" s="2"/>
      <c r="U147" s="2"/>
      <c r="V147" s="2"/>
      <c r="W147" s="2"/>
      <c r="X147" s="2"/>
    </row>
    <row r="148" ht="15.75" customHeight="1">
      <c r="R148" s="2"/>
      <c r="S148" s="2"/>
      <c r="T148" s="2"/>
      <c r="U148" s="2"/>
      <c r="V148" s="2"/>
      <c r="W148" s="2"/>
      <c r="X148" s="2"/>
    </row>
    <row r="149" ht="15.75" customHeight="1">
      <c r="R149" s="2"/>
      <c r="S149" s="2"/>
      <c r="T149" s="2"/>
      <c r="U149" s="2"/>
      <c r="V149" s="2"/>
      <c r="W149" s="2"/>
      <c r="X149" s="2"/>
    </row>
    <row r="150" ht="15.75" customHeight="1">
      <c r="R150" s="2"/>
      <c r="S150" s="2"/>
      <c r="T150" s="2"/>
      <c r="U150" s="2"/>
      <c r="V150" s="2"/>
      <c r="W150" s="2"/>
      <c r="X150" s="2"/>
    </row>
    <row r="151" ht="15.75" customHeight="1">
      <c r="R151" s="2"/>
      <c r="S151" s="2"/>
      <c r="T151" s="2"/>
      <c r="U151" s="2"/>
      <c r="V151" s="2"/>
      <c r="W151" s="2"/>
      <c r="X151" s="2"/>
    </row>
    <row r="152" ht="15.75" customHeight="1">
      <c r="R152" s="2"/>
      <c r="S152" s="2"/>
      <c r="T152" s="2"/>
      <c r="U152" s="2"/>
      <c r="V152" s="2"/>
      <c r="W152" s="2"/>
      <c r="X152" s="2"/>
    </row>
    <row r="153" ht="15.75" customHeight="1">
      <c r="R153" s="2"/>
      <c r="S153" s="2"/>
      <c r="T153" s="2"/>
      <c r="U153" s="2"/>
      <c r="V153" s="2"/>
      <c r="W153" s="2"/>
      <c r="X153" s="2"/>
    </row>
    <row r="154" ht="15.75" customHeight="1">
      <c r="R154" s="2"/>
      <c r="S154" s="2"/>
      <c r="T154" s="2"/>
      <c r="U154" s="2"/>
      <c r="V154" s="2"/>
      <c r="W154" s="2"/>
      <c r="X154" s="2"/>
    </row>
    <row r="155" ht="15.75" customHeight="1">
      <c r="R155" s="2"/>
      <c r="S155" s="2"/>
      <c r="T155" s="2"/>
      <c r="U155" s="2"/>
      <c r="V155" s="2"/>
      <c r="W155" s="2"/>
      <c r="X155" s="2"/>
    </row>
    <row r="156" ht="15.75" customHeight="1">
      <c r="R156" s="2"/>
      <c r="S156" s="2"/>
      <c r="T156" s="2"/>
      <c r="U156" s="2"/>
      <c r="V156" s="2"/>
      <c r="W156" s="2"/>
      <c r="X156" s="2"/>
    </row>
    <row r="157" ht="15.75" customHeight="1">
      <c r="R157" s="2"/>
      <c r="S157" s="2"/>
      <c r="T157" s="2"/>
      <c r="U157" s="2"/>
      <c r="V157" s="2"/>
      <c r="W157" s="2"/>
      <c r="X157" s="2"/>
    </row>
    <row r="158" ht="15.75" customHeight="1">
      <c r="R158" s="2"/>
      <c r="S158" s="2"/>
      <c r="T158" s="2"/>
      <c r="U158" s="2"/>
      <c r="V158" s="2"/>
      <c r="W158" s="2"/>
      <c r="X158" s="2"/>
    </row>
    <row r="159" ht="15.75" customHeight="1">
      <c r="R159" s="2"/>
      <c r="S159" s="2"/>
      <c r="T159" s="2"/>
      <c r="U159" s="2"/>
      <c r="V159" s="2"/>
      <c r="W159" s="2"/>
      <c r="X159" s="2"/>
    </row>
    <row r="160" ht="15.75" customHeight="1">
      <c r="R160" s="2"/>
      <c r="S160" s="2"/>
      <c r="T160" s="2"/>
      <c r="U160" s="2"/>
      <c r="V160" s="2"/>
      <c r="W160" s="2"/>
      <c r="X160" s="2"/>
    </row>
    <row r="161" ht="15.75" customHeight="1">
      <c r="R161" s="2"/>
      <c r="S161" s="2"/>
      <c r="T161" s="2"/>
      <c r="U161" s="2"/>
      <c r="V161" s="2"/>
      <c r="W161" s="2"/>
      <c r="X161" s="2"/>
    </row>
    <row r="162" ht="15.75" customHeight="1">
      <c r="R162" s="2"/>
      <c r="S162" s="2"/>
      <c r="T162" s="2"/>
      <c r="U162" s="2"/>
      <c r="V162" s="2"/>
      <c r="W162" s="2"/>
      <c r="X162" s="2"/>
    </row>
    <row r="163" ht="15.75" customHeight="1">
      <c r="R163" s="2"/>
      <c r="S163" s="2"/>
      <c r="T163" s="2"/>
      <c r="U163" s="2"/>
      <c r="V163" s="2"/>
      <c r="W163" s="2"/>
      <c r="X163" s="2"/>
    </row>
    <row r="164" ht="15.75" customHeight="1">
      <c r="R164" s="2"/>
      <c r="S164" s="2"/>
      <c r="T164" s="2"/>
      <c r="U164" s="2"/>
      <c r="V164" s="2"/>
      <c r="W164" s="2"/>
      <c r="X164" s="2"/>
    </row>
    <row r="165" ht="15.75" customHeight="1">
      <c r="R165" s="2"/>
      <c r="S165" s="2"/>
      <c r="T165" s="2"/>
      <c r="U165" s="2"/>
      <c r="V165" s="2"/>
      <c r="W165" s="2"/>
      <c r="X165" s="2"/>
    </row>
    <row r="166" ht="15.75" customHeight="1">
      <c r="R166" s="2"/>
      <c r="S166" s="2"/>
      <c r="T166" s="2"/>
      <c r="U166" s="2"/>
      <c r="V166" s="2"/>
      <c r="W166" s="2"/>
      <c r="X166" s="2"/>
    </row>
    <row r="167" ht="15.75" customHeight="1">
      <c r="R167" s="2"/>
      <c r="S167" s="2"/>
      <c r="T167" s="2"/>
      <c r="U167" s="2"/>
      <c r="V167" s="2"/>
      <c r="W167" s="2"/>
      <c r="X167" s="2"/>
    </row>
    <row r="168" ht="15.75" customHeight="1">
      <c r="R168" s="2"/>
      <c r="S168" s="2"/>
      <c r="T168" s="2"/>
      <c r="U168" s="2"/>
      <c r="V168" s="2"/>
      <c r="W168" s="2"/>
      <c r="X168" s="2"/>
    </row>
    <row r="169" ht="15.75" customHeight="1">
      <c r="R169" s="2"/>
      <c r="S169" s="2"/>
      <c r="T169" s="2"/>
      <c r="U169" s="2"/>
      <c r="V169" s="2"/>
      <c r="W169" s="2"/>
      <c r="X169" s="2"/>
    </row>
    <row r="170" ht="15.75" customHeight="1">
      <c r="R170" s="2"/>
      <c r="S170" s="2"/>
      <c r="T170" s="2"/>
      <c r="U170" s="2"/>
      <c r="V170" s="2"/>
      <c r="W170" s="2"/>
      <c r="X170" s="2"/>
    </row>
    <row r="171" ht="15.75" customHeight="1">
      <c r="R171" s="2"/>
      <c r="S171" s="2"/>
      <c r="T171" s="2"/>
      <c r="U171" s="2"/>
      <c r="V171" s="2"/>
      <c r="W171" s="2"/>
      <c r="X171" s="2"/>
    </row>
    <row r="172" ht="15.75" customHeight="1">
      <c r="R172" s="2"/>
      <c r="S172" s="2"/>
      <c r="T172" s="2"/>
      <c r="U172" s="2"/>
      <c r="V172" s="2"/>
      <c r="W172" s="2"/>
      <c r="X172" s="2"/>
    </row>
    <row r="173" ht="15.75" customHeight="1">
      <c r="R173" s="2"/>
      <c r="S173" s="2"/>
      <c r="T173" s="2"/>
      <c r="U173" s="2"/>
      <c r="V173" s="2"/>
      <c r="W173" s="2"/>
      <c r="X173" s="2"/>
    </row>
    <row r="174" ht="15.75" customHeight="1">
      <c r="R174" s="2"/>
      <c r="S174" s="2"/>
      <c r="T174" s="2"/>
      <c r="U174" s="2"/>
      <c r="V174" s="2"/>
      <c r="W174" s="2"/>
      <c r="X174" s="2"/>
    </row>
    <row r="175" ht="15.75" customHeight="1">
      <c r="R175" s="2"/>
      <c r="S175" s="2"/>
      <c r="T175" s="2"/>
      <c r="U175" s="2"/>
      <c r="V175" s="2"/>
      <c r="W175" s="2"/>
      <c r="X175" s="2"/>
    </row>
    <row r="176" ht="15.75" customHeight="1">
      <c r="R176" s="2"/>
      <c r="S176" s="2"/>
      <c r="T176" s="2"/>
      <c r="U176" s="2"/>
      <c r="V176" s="2"/>
      <c r="W176" s="2"/>
      <c r="X176" s="2"/>
    </row>
    <row r="177" ht="15.75" customHeight="1">
      <c r="R177" s="2"/>
      <c r="S177" s="2"/>
      <c r="T177" s="2"/>
      <c r="U177" s="2"/>
      <c r="V177" s="2"/>
      <c r="W177" s="2"/>
      <c r="X177" s="2"/>
    </row>
    <row r="178" ht="15.75" customHeight="1">
      <c r="R178" s="2"/>
      <c r="S178" s="2"/>
      <c r="T178" s="2"/>
      <c r="U178" s="2"/>
      <c r="V178" s="2"/>
      <c r="W178" s="2"/>
      <c r="X178" s="2"/>
    </row>
    <row r="179" ht="15.75" customHeight="1">
      <c r="R179" s="2"/>
      <c r="S179" s="2"/>
      <c r="T179" s="2"/>
      <c r="U179" s="2"/>
      <c r="V179" s="2"/>
      <c r="W179" s="2"/>
      <c r="X179" s="2"/>
    </row>
    <row r="180" ht="15.75" customHeight="1">
      <c r="R180" s="2"/>
      <c r="S180" s="2"/>
      <c r="T180" s="2"/>
      <c r="U180" s="2"/>
      <c r="V180" s="2"/>
      <c r="W180" s="2"/>
      <c r="X180" s="2"/>
    </row>
    <row r="181" ht="15.75" customHeight="1">
      <c r="R181" s="2"/>
      <c r="S181" s="2"/>
      <c r="T181" s="2"/>
      <c r="U181" s="2"/>
      <c r="V181" s="2"/>
      <c r="W181" s="2"/>
      <c r="X181" s="2"/>
    </row>
    <row r="182" ht="15.75" customHeight="1">
      <c r="R182" s="2"/>
      <c r="S182" s="2"/>
      <c r="T182" s="2"/>
      <c r="U182" s="2"/>
      <c r="V182" s="2"/>
      <c r="W182" s="2"/>
      <c r="X182" s="2"/>
    </row>
    <row r="183" ht="15.75" customHeight="1">
      <c r="R183" s="2"/>
      <c r="S183" s="2"/>
      <c r="T183" s="2"/>
      <c r="U183" s="2"/>
      <c r="V183" s="2"/>
      <c r="W183" s="2"/>
      <c r="X183" s="2"/>
    </row>
    <row r="184" ht="15.75" customHeight="1">
      <c r="R184" s="2"/>
      <c r="S184" s="2"/>
      <c r="T184" s="2"/>
      <c r="U184" s="2"/>
      <c r="V184" s="2"/>
      <c r="W184" s="2"/>
      <c r="X184" s="2"/>
    </row>
    <row r="185" ht="15.75" customHeight="1">
      <c r="R185" s="2"/>
      <c r="S185" s="2"/>
      <c r="T185" s="2"/>
      <c r="U185" s="2"/>
      <c r="V185" s="2"/>
      <c r="W185" s="2"/>
      <c r="X185" s="2"/>
    </row>
    <row r="186" ht="15.75" customHeight="1">
      <c r="R186" s="2"/>
      <c r="S186" s="2"/>
      <c r="T186" s="2"/>
      <c r="U186" s="2"/>
      <c r="V186" s="2"/>
      <c r="W186" s="2"/>
      <c r="X186" s="2"/>
    </row>
    <row r="187" ht="15.75" customHeight="1">
      <c r="R187" s="2"/>
      <c r="S187" s="2"/>
      <c r="T187" s="2"/>
      <c r="U187" s="2"/>
      <c r="V187" s="2"/>
      <c r="W187" s="2"/>
      <c r="X187" s="2"/>
    </row>
    <row r="188" ht="15.75" customHeight="1">
      <c r="R188" s="2"/>
      <c r="S188" s="2"/>
      <c r="T188" s="2"/>
      <c r="U188" s="2"/>
      <c r="V188" s="2"/>
      <c r="W188" s="2"/>
      <c r="X188" s="2"/>
    </row>
    <row r="189" ht="15.75" customHeight="1">
      <c r="R189" s="2"/>
      <c r="S189" s="2"/>
      <c r="T189" s="2"/>
      <c r="U189" s="2"/>
      <c r="V189" s="2"/>
      <c r="W189" s="2"/>
      <c r="X189" s="2"/>
    </row>
    <row r="190" ht="15.75" customHeight="1">
      <c r="R190" s="2"/>
      <c r="S190" s="2"/>
      <c r="T190" s="2"/>
      <c r="U190" s="2"/>
      <c r="V190" s="2"/>
      <c r="W190" s="2"/>
      <c r="X190" s="2"/>
    </row>
    <row r="191" ht="15.75" customHeight="1">
      <c r="R191" s="2"/>
      <c r="S191" s="2"/>
      <c r="T191" s="2"/>
      <c r="U191" s="2"/>
      <c r="V191" s="2"/>
      <c r="W191" s="2"/>
      <c r="X191" s="2"/>
    </row>
    <row r="192" ht="15.75" customHeight="1">
      <c r="R192" s="2"/>
      <c r="S192" s="2"/>
      <c r="T192" s="2"/>
      <c r="U192" s="2"/>
      <c r="V192" s="2"/>
      <c r="W192" s="2"/>
      <c r="X192" s="2"/>
    </row>
    <row r="193" ht="15.75" customHeight="1">
      <c r="R193" s="2"/>
      <c r="S193" s="2"/>
      <c r="T193" s="2"/>
      <c r="U193" s="2"/>
      <c r="V193" s="2"/>
      <c r="W193" s="2"/>
      <c r="X193" s="2"/>
    </row>
    <row r="194" ht="15.75" customHeight="1">
      <c r="R194" s="2"/>
      <c r="S194" s="2"/>
      <c r="T194" s="2"/>
      <c r="U194" s="2"/>
      <c r="V194" s="2"/>
      <c r="W194" s="2"/>
      <c r="X194" s="2"/>
    </row>
    <row r="195" ht="15.75" customHeight="1">
      <c r="R195" s="2"/>
      <c r="S195" s="2"/>
      <c r="T195" s="2"/>
      <c r="U195" s="2"/>
      <c r="V195" s="2"/>
      <c r="W195" s="2"/>
      <c r="X195" s="2"/>
    </row>
    <row r="196" ht="15.75" customHeight="1">
      <c r="R196" s="2"/>
      <c r="S196" s="2"/>
      <c r="T196" s="2"/>
      <c r="U196" s="2"/>
      <c r="V196" s="2"/>
      <c r="W196" s="2"/>
      <c r="X196" s="2"/>
    </row>
    <row r="197" ht="15.75" customHeight="1">
      <c r="R197" s="2"/>
      <c r="S197" s="2"/>
      <c r="T197" s="2"/>
      <c r="U197" s="2"/>
      <c r="V197" s="2"/>
      <c r="W197" s="2"/>
      <c r="X197" s="2"/>
    </row>
    <row r="198" ht="15.75" customHeight="1">
      <c r="R198" s="2"/>
      <c r="S198" s="2"/>
      <c r="T198" s="2"/>
      <c r="U198" s="2"/>
      <c r="V198" s="2"/>
      <c r="W198" s="2"/>
      <c r="X198" s="2"/>
    </row>
    <row r="199" ht="15.75" customHeight="1">
      <c r="R199" s="2"/>
      <c r="S199" s="2"/>
      <c r="T199" s="2"/>
      <c r="U199" s="2"/>
      <c r="V199" s="2"/>
      <c r="W199" s="2"/>
      <c r="X199" s="2"/>
    </row>
    <row r="200" ht="15.75" customHeight="1">
      <c r="R200" s="2"/>
      <c r="S200" s="2"/>
      <c r="T200" s="2"/>
      <c r="U200" s="2"/>
      <c r="V200" s="2"/>
      <c r="W200" s="2"/>
      <c r="X200" s="2"/>
    </row>
    <row r="201" ht="15.75" customHeight="1">
      <c r="R201" s="2"/>
      <c r="S201" s="2"/>
      <c r="T201" s="2"/>
      <c r="U201" s="2"/>
      <c r="V201" s="2"/>
      <c r="W201" s="2"/>
      <c r="X201" s="2"/>
    </row>
    <row r="202" ht="15.75" customHeight="1">
      <c r="R202" s="2"/>
      <c r="S202" s="2"/>
      <c r="T202" s="2"/>
      <c r="U202" s="2"/>
      <c r="V202" s="2"/>
      <c r="W202" s="2"/>
      <c r="X202" s="2"/>
    </row>
    <row r="203" ht="15.75" customHeight="1">
      <c r="R203" s="2"/>
      <c r="S203" s="2"/>
      <c r="T203" s="2"/>
      <c r="U203" s="2"/>
      <c r="V203" s="2"/>
      <c r="W203" s="2"/>
      <c r="X203" s="2"/>
    </row>
    <row r="204" ht="15.75" customHeight="1">
      <c r="R204" s="2"/>
      <c r="S204" s="2"/>
      <c r="T204" s="2"/>
      <c r="U204" s="2"/>
      <c r="V204" s="2"/>
      <c r="W204" s="2"/>
      <c r="X204" s="2"/>
    </row>
    <row r="205" ht="15.75" customHeight="1">
      <c r="R205" s="2"/>
      <c r="S205" s="2"/>
      <c r="T205" s="2"/>
      <c r="U205" s="2"/>
      <c r="V205" s="2"/>
      <c r="W205" s="2"/>
      <c r="X205" s="2"/>
    </row>
    <row r="206" ht="15.75" customHeight="1">
      <c r="R206" s="2"/>
      <c r="S206" s="2"/>
      <c r="T206" s="2"/>
      <c r="U206" s="2"/>
      <c r="V206" s="2"/>
      <c r="W206" s="2"/>
      <c r="X206" s="2"/>
    </row>
    <row r="207" ht="15.75" customHeight="1">
      <c r="R207" s="2"/>
      <c r="S207" s="2"/>
      <c r="T207" s="2"/>
      <c r="U207" s="2"/>
      <c r="V207" s="2"/>
      <c r="W207" s="2"/>
      <c r="X207" s="2"/>
    </row>
    <row r="208" ht="15.75" customHeight="1">
      <c r="R208" s="2"/>
      <c r="S208" s="2"/>
      <c r="T208" s="2"/>
      <c r="U208" s="2"/>
      <c r="V208" s="2"/>
      <c r="W208" s="2"/>
      <c r="X208" s="2"/>
    </row>
    <row r="209" ht="15.75" customHeight="1">
      <c r="R209" s="2"/>
      <c r="S209" s="2"/>
      <c r="T209" s="2"/>
      <c r="U209" s="2"/>
      <c r="V209" s="2"/>
      <c r="W209" s="2"/>
      <c r="X209" s="2"/>
    </row>
    <row r="210" ht="15.75" customHeight="1">
      <c r="R210" s="2"/>
      <c r="S210" s="2"/>
      <c r="T210" s="2"/>
      <c r="U210" s="2"/>
      <c r="V210" s="2"/>
      <c r="W210" s="2"/>
      <c r="X210" s="2"/>
    </row>
    <row r="211" ht="15.75" customHeight="1">
      <c r="R211" s="2"/>
      <c r="S211" s="2"/>
      <c r="T211" s="2"/>
      <c r="U211" s="2"/>
      <c r="V211" s="2"/>
      <c r="W211" s="2"/>
      <c r="X211" s="2"/>
    </row>
    <row r="212" ht="15.75" customHeight="1">
      <c r="R212" s="2"/>
      <c r="S212" s="2"/>
      <c r="T212" s="2"/>
      <c r="U212" s="2"/>
      <c r="V212" s="2"/>
      <c r="W212" s="2"/>
      <c r="X212" s="2"/>
    </row>
    <row r="213" ht="15.75" customHeight="1">
      <c r="R213" s="2"/>
      <c r="S213" s="2"/>
      <c r="T213" s="2"/>
      <c r="U213" s="2"/>
      <c r="V213" s="2"/>
      <c r="W213" s="2"/>
      <c r="X213" s="2"/>
    </row>
    <row r="214" ht="15.75" customHeight="1">
      <c r="R214" s="2"/>
      <c r="S214" s="2"/>
      <c r="T214" s="2"/>
      <c r="U214" s="2"/>
      <c r="V214" s="2"/>
      <c r="W214" s="2"/>
      <c r="X214" s="2"/>
    </row>
    <row r="215" ht="15.75" customHeight="1">
      <c r="R215" s="2"/>
      <c r="S215" s="2"/>
      <c r="T215" s="2"/>
      <c r="U215" s="2"/>
      <c r="V215" s="2"/>
      <c r="W215" s="2"/>
      <c r="X215" s="2"/>
    </row>
    <row r="216" ht="15.75" customHeight="1">
      <c r="R216" s="2"/>
      <c r="S216" s="2"/>
      <c r="T216" s="2"/>
      <c r="U216" s="2"/>
      <c r="V216" s="2"/>
      <c r="W216" s="2"/>
      <c r="X216" s="2"/>
    </row>
    <row r="217" ht="15.75" customHeight="1">
      <c r="R217" s="2"/>
      <c r="S217" s="2"/>
      <c r="T217" s="2"/>
      <c r="U217" s="2"/>
      <c r="V217" s="2"/>
      <c r="W217" s="2"/>
      <c r="X217" s="2"/>
    </row>
    <row r="218" ht="15.75" customHeight="1">
      <c r="R218" s="2"/>
      <c r="S218" s="2"/>
      <c r="T218" s="2"/>
      <c r="U218" s="2"/>
      <c r="V218" s="2"/>
      <c r="W218" s="2"/>
      <c r="X218" s="2"/>
    </row>
    <row r="219" ht="15.75" customHeight="1">
      <c r="R219" s="2"/>
      <c r="S219" s="2"/>
      <c r="T219" s="2"/>
      <c r="U219" s="2"/>
      <c r="V219" s="2"/>
      <c r="W219" s="2"/>
      <c r="X219" s="2"/>
    </row>
    <row r="220" ht="15.75" customHeight="1">
      <c r="R220" s="2"/>
      <c r="S220" s="2"/>
      <c r="T220" s="2"/>
      <c r="U220" s="2"/>
      <c r="V220" s="2"/>
      <c r="W220" s="2"/>
      <c r="X220" s="2"/>
    </row>
    <row r="221" ht="15.75" customHeight="1">
      <c r="R221" s="2"/>
      <c r="S221" s="2"/>
      <c r="T221" s="2"/>
      <c r="U221" s="2"/>
      <c r="V221" s="2"/>
      <c r="W221" s="2"/>
      <c r="X221" s="2"/>
    </row>
    <row r="222" ht="15.75" customHeight="1">
      <c r="R222" s="2"/>
      <c r="S222" s="2"/>
      <c r="T222" s="2"/>
      <c r="U222" s="2"/>
      <c r="V222" s="2"/>
      <c r="W222" s="2"/>
      <c r="X222" s="2"/>
    </row>
    <row r="223" ht="15.75" customHeight="1">
      <c r="R223" s="2"/>
      <c r="S223" s="2"/>
      <c r="T223" s="2"/>
      <c r="U223" s="2"/>
      <c r="V223" s="2"/>
      <c r="W223" s="2"/>
      <c r="X223" s="2"/>
    </row>
    <row r="224" ht="15.75" customHeight="1">
      <c r="R224" s="2"/>
      <c r="S224" s="2"/>
      <c r="T224" s="2"/>
      <c r="U224" s="2"/>
      <c r="V224" s="2"/>
      <c r="W224" s="2"/>
      <c r="X224" s="2"/>
    </row>
    <row r="225" ht="15.75" customHeight="1">
      <c r="R225" s="2"/>
      <c r="S225" s="2"/>
      <c r="T225" s="2"/>
      <c r="U225" s="2"/>
      <c r="V225" s="2"/>
      <c r="W225" s="2"/>
      <c r="X225" s="2"/>
    </row>
    <row r="226" ht="15.75" customHeight="1">
      <c r="R226" s="2"/>
      <c r="S226" s="2"/>
      <c r="T226" s="2"/>
      <c r="U226" s="2"/>
      <c r="V226" s="2"/>
      <c r="W226" s="2"/>
      <c r="X226" s="2"/>
    </row>
    <row r="227" ht="15.75" customHeight="1">
      <c r="R227" s="2"/>
      <c r="S227" s="2"/>
      <c r="T227" s="2"/>
      <c r="U227" s="2"/>
      <c r="V227" s="2"/>
      <c r="W227" s="2"/>
      <c r="X227" s="2"/>
    </row>
    <row r="228" ht="15.75" customHeight="1">
      <c r="R228" s="2"/>
      <c r="S228" s="2"/>
      <c r="T228" s="2"/>
      <c r="U228" s="2"/>
      <c r="V228" s="2"/>
      <c r="W228" s="2"/>
      <c r="X228" s="2"/>
    </row>
    <row r="229" ht="15.75" customHeight="1">
      <c r="R229" s="2"/>
      <c r="S229" s="2"/>
      <c r="T229" s="2"/>
      <c r="U229" s="2"/>
      <c r="V229" s="2"/>
      <c r="W229" s="2"/>
      <c r="X229" s="2"/>
    </row>
    <row r="230" ht="15.75" customHeight="1">
      <c r="R230" s="2"/>
      <c r="S230" s="2"/>
      <c r="T230" s="2"/>
      <c r="U230" s="2"/>
      <c r="V230" s="2"/>
      <c r="W230" s="2"/>
      <c r="X230" s="2"/>
    </row>
    <row r="231" ht="15.75" customHeight="1">
      <c r="R231" s="2"/>
      <c r="S231" s="2"/>
      <c r="T231" s="2"/>
      <c r="U231" s="2"/>
      <c r="V231" s="2"/>
      <c r="W231" s="2"/>
      <c r="X231" s="2"/>
    </row>
    <row r="232" ht="15.75" customHeight="1">
      <c r="R232" s="2"/>
      <c r="S232" s="2"/>
      <c r="T232" s="2"/>
      <c r="U232" s="2"/>
      <c r="V232" s="2"/>
      <c r="W232" s="2"/>
      <c r="X232" s="2"/>
    </row>
    <row r="233" ht="15.75" customHeight="1">
      <c r="R233" s="2"/>
      <c r="S233" s="2"/>
      <c r="T233" s="2"/>
      <c r="U233" s="2"/>
      <c r="V233" s="2"/>
      <c r="W233" s="2"/>
      <c r="X233" s="2"/>
    </row>
    <row r="234" ht="15.75" customHeight="1">
      <c r="R234" s="2"/>
      <c r="S234" s="2"/>
      <c r="T234" s="2"/>
      <c r="U234" s="2"/>
      <c r="V234" s="2"/>
      <c r="W234" s="2"/>
      <c r="X234" s="2"/>
    </row>
    <row r="235" ht="15.75" customHeight="1">
      <c r="R235" s="2"/>
      <c r="S235" s="2"/>
      <c r="T235" s="2"/>
      <c r="U235" s="2"/>
      <c r="V235" s="2"/>
      <c r="W235" s="2"/>
      <c r="X235" s="2"/>
    </row>
    <row r="236" ht="15.75" customHeight="1">
      <c r="R236" s="2"/>
      <c r="S236" s="2"/>
      <c r="T236" s="2"/>
      <c r="U236" s="2"/>
      <c r="V236" s="2"/>
      <c r="W236" s="2"/>
      <c r="X236" s="2"/>
    </row>
    <row r="237" ht="15.75" customHeight="1">
      <c r="R237" s="2"/>
      <c r="S237" s="2"/>
      <c r="T237" s="2"/>
      <c r="U237" s="2"/>
      <c r="V237" s="2"/>
      <c r="W237" s="2"/>
      <c r="X237" s="2"/>
    </row>
    <row r="238" ht="15.75" customHeight="1">
      <c r="R238" s="2"/>
      <c r="S238" s="2"/>
      <c r="T238" s="2"/>
      <c r="U238" s="2"/>
      <c r="V238" s="2"/>
      <c r="W238" s="2"/>
      <c r="X238" s="2"/>
    </row>
    <row r="239" ht="15.75" customHeight="1">
      <c r="R239" s="2"/>
      <c r="S239" s="2"/>
      <c r="T239" s="2"/>
      <c r="U239" s="2"/>
      <c r="V239" s="2"/>
      <c r="W239" s="2"/>
      <c r="X239" s="2"/>
    </row>
    <row r="240" ht="15.75" customHeight="1">
      <c r="R240" s="2"/>
      <c r="S240" s="2"/>
      <c r="T240" s="2"/>
      <c r="U240" s="2"/>
      <c r="V240" s="2"/>
      <c r="W240" s="2"/>
      <c r="X240" s="2"/>
    </row>
    <row r="241" ht="15.75" customHeight="1">
      <c r="R241" s="2"/>
      <c r="S241" s="2"/>
      <c r="T241" s="2"/>
      <c r="U241" s="2"/>
      <c r="V241" s="2"/>
      <c r="W241" s="2"/>
      <c r="X241" s="2"/>
    </row>
    <row r="242" ht="15.75" customHeight="1">
      <c r="R242" s="2"/>
      <c r="S242" s="2"/>
      <c r="T242" s="2"/>
      <c r="U242" s="2"/>
      <c r="V242" s="2"/>
      <c r="W242" s="2"/>
      <c r="X242" s="2"/>
    </row>
    <row r="243" ht="15.75" customHeight="1">
      <c r="R243" s="2"/>
      <c r="S243" s="2"/>
      <c r="T243" s="2"/>
      <c r="U243" s="2"/>
      <c r="V243" s="2"/>
      <c r="W243" s="2"/>
      <c r="X243" s="2"/>
    </row>
    <row r="244" ht="15.75" customHeight="1">
      <c r="R244" s="2"/>
      <c r="S244" s="2"/>
      <c r="T244" s="2"/>
      <c r="U244" s="2"/>
      <c r="V244" s="2"/>
      <c r="W244" s="2"/>
      <c r="X244" s="2"/>
    </row>
    <row r="245" ht="15.75" customHeight="1">
      <c r="R245" s="2"/>
      <c r="S245" s="2"/>
      <c r="T245" s="2"/>
      <c r="U245" s="2"/>
      <c r="V245" s="2"/>
      <c r="W245" s="2"/>
      <c r="X245" s="2"/>
    </row>
    <row r="246" ht="15.75" customHeight="1">
      <c r="R246" s="2"/>
      <c r="S246" s="2"/>
      <c r="T246" s="2"/>
      <c r="U246" s="2"/>
      <c r="V246" s="2"/>
      <c r="W246" s="2"/>
      <c r="X246" s="2"/>
    </row>
    <row r="247" ht="15.75" customHeight="1">
      <c r="R247" s="2"/>
      <c r="S247" s="2"/>
      <c r="T247" s="2"/>
      <c r="U247" s="2"/>
      <c r="V247" s="2"/>
      <c r="W247" s="2"/>
      <c r="X247" s="2"/>
    </row>
    <row r="248" ht="15.75" customHeight="1">
      <c r="R248" s="2"/>
      <c r="S248" s="2"/>
      <c r="T248" s="2"/>
      <c r="U248" s="2"/>
      <c r="V248" s="2"/>
      <c r="W248" s="2"/>
      <c r="X248" s="2"/>
    </row>
    <row r="249" ht="15.75" customHeight="1">
      <c r="R249" s="2"/>
      <c r="S249" s="2"/>
      <c r="T249" s="2"/>
      <c r="U249" s="2"/>
      <c r="V249" s="2"/>
      <c r="W249" s="2"/>
      <c r="X249" s="2"/>
    </row>
    <row r="250" ht="15.75" customHeight="1">
      <c r="R250" s="2"/>
      <c r="S250" s="2"/>
      <c r="T250" s="2"/>
      <c r="U250" s="2"/>
      <c r="V250" s="2"/>
      <c r="W250" s="2"/>
      <c r="X250" s="2"/>
    </row>
    <row r="251" ht="15.75" customHeight="1">
      <c r="R251" s="2"/>
      <c r="S251" s="2"/>
      <c r="T251" s="2"/>
      <c r="U251" s="2"/>
      <c r="V251" s="2"/>
      <c r="W251" s="2"/>
      <c r="X251" s="2"/>
    </row>
    <row r="252" ht="15.75" customHeight="1">
      <c r="R252" s="2"/>
      <c r="S252" s="2"/>
      <c r="T252" s="2"/>
      <c r="U252" s="2"/>
      <c r="V252" s="2"/>
      <c r="W252" s="2"/>
      <c r="X252" s="2"/>
    </row>
    <row r="253" ht="15.75" customHeight="1">
      <c r="R253" s="2"/>
      <c r="S253" s="2"/>
      <c r="T253" s="2"/>
      <c r="U253" s="2"/>
      <c r="V253" s="2"/>
      <c r="W253" s="2"/>
      <c r="X253" s="2"/>
    </row>
    <row r="254" ht="15.75" customHeight="1">
      <c r="R254" s="2"/>
      <c r="S254" s="2"/>
      <c r="T254" s="2"/>
      <c r="U254" s="2"/>
      <c r="V254" s="2"/>
      <c r="W254" s="2"/>
      <c r="X254" s="2"/>
    </row>
    <row r="255" ht="15.75" customHeight="1">
      <c r="R255" s="2"/>
      <c r="S255" s="2"/>
      <c r="T255" s="2"/>
      <c r="U255" s="2"/>
      <c r="V255" s="2"/>
      <c r="W255" s="2"/>
      <c r="X255" s="2"/>
    </row>
    <row r="256" ht="15.75" customHeight="1">
      <c r="R256" s="2"/>
      <c r="S256" s="2"/>
      <c r="T256" s="2"/>
      <c r="U256" s="2"/>
      <c r="V256" s="2"/>
      <c r="W256" s="2"/>
      <c r="X256" s="2"/>
    </row>
    <row r="257" ht="15.75" customHeight="1">
      <c r="R257" s="2"/>
      <c r="S257" s="2"/>
      <c r="T257" s="2"/>
      <c r="U257" s="2"/>
      <c r="V257" s="2"/>
      <c r="W257" s="2"/>
      <c r="X257" s="2"/>
    </row>
    <row r="258" ht="15.75" customHeight="1">
      <c r="R258" s="2"/>
      <c r="S258" s="2"/>
      <c r="T258" s="2"/>
      <c r="U258" s="2"/>
      <c r="V258" s="2"/>
      <c r="W258" s="2"/>
      <c r="X258" s="2"/>
    </row>
    <row r="259" ht="15.75" customHeight="1">
      <c r="R259" s="2"/>
      <c r="S259" s="2"/>
      <c r="T259" s="2"/>
      <c r="U259" s="2"/>
      <c r="V259" s="2"/>
      <c r="W259" s="2"/>
      <c r="X259" s="2"/>
    </row>
    <row r="260" ht="15.75" customHeight="1">
      <c r="R260" s="2"/>
      <c r="S260" s="2"/>
      <c r="T260" s="2"/>
      <c r="U260" s="2"/>
      <c r="V260" s="2"/>
      <c r="W260" s="2"/>
      <c r="X260" s="2"/>
    </row>
    <row r="261" ht="15.75" customHeight="1">
      <c r="R261" s="2"/>
      <c r="S261" s="2"/>
      <c r="T261" s="2"/>
      <c r="U261" s="2"/>
      <c r="V261" s="2"/>
      <c r="W261" s="2"/>
      <c r="X261" s="2"/>
    </row>
    <row r="262" ht="15.75" customHeight="1">
      <c r="R262" s="2"/>
      <c r="S262" s="2"/>
      <c r="T262" s="2"/>
      <c r="U262" s="2"/>
      <c r="V262" s="2"/>
      <c r="W262" s="2"/>
      <c r="X262" s="2"/>
    </row>
    <row r="263" ht="15.75" customHeight="1">
      <c r="R263" s="2"/>
      <c r="S263" s="2"/>
      <c r="T263" s="2"/>
      <c r="U263" s="2"/>
      <c r="V263" s="2"/>
      <c r="W263" s="2"/>
      <c r="X263" s="2"/>
    </row>
    <row r="264" ht="15.75" customHeight="1">
      <c r="R264" s="2"/>
      <c r="S264" s="2"/>
      <c r="T264" s="2"/>
      <c r="U264" s="2"/>
      <c r="V264" s="2"/>
      <c r="W264" s="2"/>
      <c r="X264" s="2"/>
    </row>
    <row r="265" ht="15.75" customHeight="1">
      <c r="R265" s="2"/>
      <c r="S265" s="2"/>
      <c r="T265" s="2"/>
      <c r="U265" s="2"/>
      <c r="V265" s="2"/>
      <c r="W265" s="2"/>
      <c r="X265" s="2"/>
    </row>
    <row r="266" ht="15.75" customHeight="1">
      <c r="R266" s="2"/>
      <c r="S266" s="2"/>
      <c r="T266" s="2"/>
      <c r="U266" s="2"/>
      <c r="V266" s="2"/>
      <c r="W266" s="2"/>
      <c r="X266" s="2"/>
    </row>
    <row r="267" ht="15.75" customHeight="1">
      <c r="R267" s="2"/>
      <c r="S267" s="2"/>
      <c r="T267" s="2"/>
      <c r="U267" s="2"/>
      <c r="V267" s="2"/>
      <c r="W267" s="2"/>
      <c r="X267" s="2"/>
    </row>
    <row r="268" ht="15.75" customHeight="1">
      <c r="R268" s="2"/>
      <c r="S268" s="2"/>
      <c r="T268" s="2"/>
      <c r="U268" s="2"/>
      <c r="V268" s="2"/>
      <c r="W268" s="2"/>
      <c r="X268" s="2"/>
    </row>
    <row r="269" ht="15.75" customHeight="1">
      <c r="R269" s="2"/>
      <c r="S269" s="2"/>
      <c r="T269" s="2"/>
      <c r="U269" s="2"/>
      <c r="V269" s="2"/>
      <c r="W269" s="2"/>
      <c r="X269" s="2"/>
    </row>
    <row r="270" ht="15.75" customHeight="1">
      <c r="R270" s="2"/>
      <c r="S270" s="2"/>
      <c r="T270" s="2"/>
      <c r="U270" s="2"/>
      <c r="V270" s="2"/>
      <c r="W270" s="2"/>
      <c r="X270" s="2"/>
    </row>
    <row r="271" ht="15.75" customHeight="1">
      <c r="R271" s="2"/>
      <c r="S271" s="2"/>
      <c r="T271" s="2"/>
      <c r="U271" s="2"/>
      <c r="V271" s="2"/>
      <c r="W271" s="2"/>
      <c r="X271" s="2"/>
    </row>
    <row r="272" ht="15.75" customHeight="1">
      <c r="R272" s="2"/>
      <c r="S272" s="2"/>
      <c r="T272" s="2"/>
      <c r="U272" s="2"/>
      <c r="V272" s="2"/>
      <c r="W272" s="2"/>
      <c r="X272" s="2"/>
    </row>
    <row r="273" ht="15.75" customHeight="1">
      <c r="R273" s="2"/>
      <c r="S273" s="2"/>
      <c r="T273" s="2"/>
      <c r="U273" s="2"/>
      <c r="V273" s="2"/>
      <c r="W273" s="2"/>
      <c r="X273" s="2"/>
    </row>
    <row r="274" ht="15.75" customHeight="1">
      <c r="R274" s="2"/>
      <c r="S274" s="2"/>
      <c r="T274" s="2"/>
      <c r="U274" s="2"/>
      <c r="V274" s="2"/>
      <c r="W274" s="2"/>
      <c r="X274" s="2"/>
    </row>
    <row r="275" ht="15.75" customHeight="1">
      <c r="R275" s="2"/>
      <c r="S275" s="2"/>
      <c r="T275" s="2"/>
      <c r="U275" s="2"/>
      <c r="V275" s="2"/>
      <c r="W275" s="2"/>
      <c r="X275" s="2"/>
    </row>
    <row r="276" ht="15.75" customHeight="1">
      <c r="R276" s="2"/>
      <c r="S276" s="2"/>
      <c r="T276" s="2"/>
      <c r="U276" s="2"/>
      <c r="V276" s="2"/>
      <c r="W276" s="2"/>
      <c r="X276" s="2"/>
    </row>
    <row r="277" ht="15.75" customHeight="1">
      <c r="R277" s="2"/>
      <c r="S277" s="2"/>
      <c r="T277" s="2"/>
      <c r="U277" s="2"/>
      <c r="V277" s="2"/>
      <c r="W277" s="2"/>
      <c r="X277" s="2"/>
    </row>
    <row r="278" ht="15.75" customHeight="1">
      <c r="R278" s="2"/>
      <c r="S278" s="2"/>
      <c r="T278" s="2"/>
      <c r="U278" s="2"/>
      <c r="V278" s="2"/>
      <c r="W278" s="2"/>
      <c r="X278" s="2"/>
    </row>
    <row r="279" ht="15.75" customHeight="1">
      <c r="R279" s="2"/>
      <c r="S279" s="2"/>
      <c r="T279" s="2"/>
      <c r="U279" s="2"/>
      <c r="V279" s="2"/>
      <c r="W279" s="2"/>
      <c r="X279" s="2"/>
    </row>
    <row r="280" ht="15.75" customHeight="1">
      <c r="R280" s="2"/>
      <c r="S280" s="2"/>
      <c r="T280" s="2"/>
      <c r="U280" s="2"/>
      <c r="V280" s="2"/>
      <c r="W280" s="2"/>
      <c r="X280" s="2"/>
    </row>
    <row r="281" ht="15.75" customHeight="1">
      <c r="R281" s="2"/>
      <c r="S281" s="2"/>
      <c r="T281" s="2"/>
      <c r="U281" s="2"/>
      <c r="V281" s="2"/>
      <c r="W281" s="2"/>
      <c r="X281" s="2"/>
    </row>
    <row r="282" ht="15.75" customHeight="1">
      <c r="R282" s="2"/>
      <c r="S282" s="2"/>
      <c r="T282" s="2"/>
      <c r="U282" s="2"/>
      <c r="V282" s="2"/>
      <c r="W282" s="2"/>
      <c r="X282" s="2"/>
    </row>
    <row r="283" ht="15.75" customHeight="1">
      <c r="R283" s="2"/>
      <c r="S283" s="2"/>
      <c r="T283" s="2"/>
      <c r="U283" s="2"/>
      <c r="V283" s="2"/>
      <c r="W283" s="2"/>
      <c r="X283" s="2"/>
    </row>
    <row r="284" ht="15.75" customHeight="1">
      <c r="R284" s="2"/>
      <c r="S284" s="2"/>
      <c r="T284" s="2"/>
      <c r="U284" s="2"/>
      <c r="V284" s="2"/>
      <c r="W284" s="2"/>
      <c r="X284" s="2"/>
    </row>
    <row r="285" ht="15.75" customHeight="1">
      <c r="R285" s="2"/>
      <c r="S285" s="2"/>
      <c r="T285" s="2"/>
      <c r="U285" s="2"/>
      <c r="V285" s="2"/>
      <c r="W285" s="2"/>
      <c r="X285" s="2"/>
    </row>
    <row r="286" ht="15.75" customHeight="1">
      <c r="R286" s="2"/>
      <c r="S286" s="2"/>
      <c r="T286" s="2"/>
      <c r="U286" s="2"/>
      <c r="V286" s="2"/>
      <c r="W286" s="2"/>
      <c r="X286" s="2"/>
    </row>
    <row r="287" ht="15.75" customHeight="1">
      <c r="R287" s="2"/>
      <c r="S287" s="2"/>
      <c r="T287" s="2"/>
      <c r="U287" s="2"/>
      <c r="V287" s="2"/>
      <c r="W287" s="2"/>
      <c r="X287" s="2"/>
    </row>
    <row r="288" ht="15.75" customHeight="1">
      <c r="R288" s="2"/>
      <c r="S288" s="2"/>
      <c r="T288" s="2"/>
      <c r="U288" s="2"/>
      <c r="V288" s="2"/>
      <c r="W288" s="2"/>
      <c r="X288" s="2"/>
    </row>
    <row r="289" ht="15.75" customHeight="1">
      <c r="R289" s="2"/>
      <c r="S289" s="2"/>
      <c r="T289" s="2"/>
      <c r="U289" s="2"/>
      <c r="V289" s="2"/>
      <c r="W289" s="2"/>
      <c r="X289" s="2"/>
    </row>
    <row r="290" ht="15.75" customHeight="1">
      <c r="R290" s="2"/>
      <c r="S290" s="2"/>
      <c r="T290" s="2"/>
      <c r="U290" s="2"/>
      <c r="V290" s="2"/>
      <c r="W290" s="2"/>
      <c r="X290" s="2"/>
    </row>
    <row r="291" ht="15.75" customHeight="1">
      <c r="R291" s="2"/>
      <c r="S291" s="2"/>
      <c r="T291" s="2"/>
      <c r="U291" s="2"/>
      <c r="V291" s="2"/>
      <c r="W291" s="2"/>
      <c r="X291" s="2"/>
    </row>
    <row r="292" ht="15.75" customHeight="1">
      <c r="R292" s="2"/>
      <c r="S292" s="2"/>
      <c r="T292" s="2"/>
      <c r="U292" s="2"/>
      <c r="V292" s="2"/>
      <c r="W292" s="2"/>
      <c r="X292" s="2"/>
    </row>
    <row r="293" ht="15.75" customHeight="1">
      <c r="R293" s="2"/>
      <c r="S293" s="2"/>
      <c r="T293" s="2"/>
      <c r="U293" s="2"/>
      <c r="V293" s="2"/>
      <c r="W293" s="2"/>
      <c r="X293" s="2"/>
    </row>
    <row r="294" ht="15.75" customHeight="1">
      <c r="R294" s="2"/>
      <c r="S294" s="2"/>
      <c r="T294" s="2"/>
      <c r="U294" s="2"/>
      <c r="V294" s="2"/>
      <c r="W294" s="2"/>
      <c r="X294" s="2"/>
    </row>
    <row r="295" ht="15.75" customHeight="1">
      <c r="R295" s="2"/>
      <c r="S295" s="2"/>
      <c r="T295" s="2"/>
      <c r="U295" s="2"/>
      <c r="V295" s="2"/>
      <c r="W295" s="2"/>
      <c r="X295" s="2"/>
    </row>
    <row r="296" ht="15.75" customHeight="1">
      <c r="R296" s="2"/>
      <c r="S296" s="2"/>
      <c r="T296" s="2"/>
      <c r="U296" s="2"/>
      <c r="V296" s="2"/>
      <c r="W296" s="2"/>
      <c r="X296" s="2"/>
    </row>
    <row r="297" ht="15.75" customHeight="1">
      <c r="R297" s="2"/>
      <c r="S297" s="2"/>
      <c r="T297" s="2"/>
      <c r="U297" s="2"/>
      <c r="V297" s="2"/>
      <c r="W297" s="2"/>
      <c r="X297" s="2"/>
    </row>
    <row r="298" ht="15.75" customHeight="1">
      <c r="R298" s="2"/>
      <c r="S298" s="2"/>
      <c r="T298" s="2"/>
      <c r="U298" s="2"/>
      <c r="V298" s="2"/>
      <c r="W298" s="2"/>
      <c r="X298" s="2"/>
    </row>
    <row r="299" ht="15.75" customHeight="1">
      <c r="R299" s="2"/>
      <c r="S299" s="2"/>
      <c r="T299" s="2"/>
      <c r="U299" s="2"/>
      <c r="V299" s="2"/>
      <c r="W299" s="2"/>
      <c r="X299" s="2"/>
    </row>
    <row r="300" ht="15.75" customHeight="1">
      <c r="R300" s="2"/>
      <c r="S300" s="2"/>
      <c r="T300" s="2"/>
      <c r="U300" s="2"/>
      <c r="V300" s="2"/>
      <c r="W300" s="2"/>
      <c r="X300" s="2"/>
    </row>
    <row r="301" ht="15.75" customHeight="1">
      <c r="R301" s="2"/>
      <c r="S301" s="2"/>
      <c r="T301" s="2"/>
      <c r="U301" s="2"/>
      <c r="V301" s="2"/>
      <c r="W301" s="2"/>
      <c r="X301" s="2"/>
    </row>
    <row r="302" ht="15.75" customHeight="1">
      <c r="R302" s="2"/>
      <c r="S302" s="2"/>
      <c r="T302" s="2"/>
      <c r="U302" s="2"/>
      <c r="V302" s="2"/>
      <c r="W302" s="2"/>
      <c r="X302" s="2"/>
    </row>
    <row r="303" ht="15.75" customHeight="1">
      <c r="R303" s="2"/>
      <c r="S303" s="2"/>
      <c r="T303" s="2"/>
      <c r="U303" s="2"/>
      <c r="V303" s="2"/>
      <c r="W303" s="2"/>
      <c r="X303" s="2"/>
    </row>
    <row r="304" ht="15.75" customHeight="1">
      <c r="R304" s="2"/>
      <c r="S304" s="2"/>
      <c r="T304" s="2"/>
      <c r="U304" s="2"/>
      <c r="V304" s="2"/>
      <c r="W304" s="2"/>
      <c r="X304" s="2"/>
    </row>
    <row r="305" ht="15.75" customHeight="1">
      <c r="R305" s="2"/>
      <c r="S305" s="2"/>
      <c r="T305" s="2"/>
      <c r="U305" s="2"/>
      <c r="V305" s="2"/>
      <c r="W305" s="2"/>
      <c r="X305" s="2"/>
    </row>
    <row r="306" ht="15.75" customHeight="1">
      <c r="R306" s="2"/>
      <c r="S306" s="2"/>
      <c r="T306" s="2"/>
      <c r="U306" s="2"/>
      <c r="V306" s="2"/>
      <c r="W306" s="2"/>
      <c r="X306" s="2"/>
    </row>
    <row r="307" ht="15.75" customHeight="1">
      <c r="R307" s="2"/>
      <c r="S307" s="2"/>
      <c r="T307" s="2"/>
      <c r="U307" s="2"/>
      <c r="V307" s="2"/>
      <c r="W307" s="2"/>
      <c r="X307" s="2"/>
    </row>
    <row r="308" ht="15.75" customHeight="1">
      <c r="R308" s="2"/>
      <c r="S308" s="2"/>
      <c r="T308" s="2"/>
      <c r="U308" s="2"/>
      <c r="V308" s="2"/>
      <c r="W308" s="2"/>
      <c r="X308" s="2"/>
    </row>
    <row r="309" ht="15.75" customHeight="1">
      <c r="R309" s="2"/>
      <c r="S309" s="2"/>
      <c r="T309" s="2"/>
      <c r="U309" s="2"/>
      <c r="V309" s="2"/>
      <c r="W309" s="2"/>
      <c r="X309" s="2"/>
    </row>
    <row r="310" ht="15.75" customHeight="1">
      <c r="R310" s="2"/>
      <c r="S310" s="2"/>
      <c r="T310" s="2"/>
      <c r="U310" s="2"/>
      <c r="V310" s="2"/>
      <c r="W310" s="2"/>
      <c r="X310" s="2"/>
    </row>
    <row r="311" ht="15.75" customHeight="1">
      <c r="R311" s="2"/>
      <c r="S311" s="2"/>
      <c r="T311" s="2"/>
      <c r="U311" s="2"/>
      <c r="V311" s="2"/>
      <c r="W311" s="2"/>
      <c r="X311" s="2"/>
    </row>
    <row r="312" ht="15.75" customHeight="1">
      <c r="R312" s="2"/>
      <c r="S312" s="2"/>
      <c r="T312" s="2"/>
      <c r="U312" s="2"/>
      <c r="V312" s="2"/>
      <c r="W312" s="2"/>
      <c r="X312" s="2"/>
    </row>
    <row r="313" ht="15.75" customHeight="1">
      <c r="R313" s="2"/>
      <c r="S313" s="2"/>
      <c r="T313" s="2"/>
      <c r="U313" s="2"/>
      <c r="V313" s="2"/>
      <c r="W313" s="2"/>
      <c r="X313" s="2"/>
    </row>
    <row r="314" ht="15.75" customHeight="1">
      <c r="R314" s="2"/>
      <c r="S314" s="2"/>
      <c r="T314" s="2"/>
      <c r="U314" s="2"/>
      <c r="V314" s="2"/>
      <c r="W314" s="2"/>
      <c r="X314" s="2"/>
    </row>
    <row r="315" ht="15.75" customHeight="1">
      <c r="R315" s="2"/>
      <c r="S315" s="2"/>
      <c r="T315" s="2"/>
      <c r="U315" s="2"/>
      <c r="V315" s="2"/>
      <c r="W315" s="2"/>
      <c r="X315" s="2"/>
    </row>
    <row r="316" ht="15.75" customHeight="1">
      <c r="R316" s="2"/>
      <c r="S316" s="2"/>
      <c r="T316" s="2"/>
      <c r="U316" s="2"/>
      <c r="V316" s="2"/>
      <c r="W316" s="2"/>
      <c r="X316" s="2"/>
    </row>
    <row r="317" ht="15.75" customHeight="1">
      <c r="R317" s="2"/>
      <c r="S317" s="2"/>
      <c r="T317" s="2"/>
      <c r="U317" s="2"/>
      <c r="V317" s="2"/>
      <c r="W317" s="2"/>
      <c r="X317" s="2"/>
    </row>
    <row r="318" ht="15.75" customHeight="1">
      <c r="R318" s="2"/>
      <c r="S318" s="2"/>
      <c r="T318" s="2"/>
      <c r="U318" s="2"/>
      <c r="V318" s="2"/>
      <c r="W318" s="2"/>
      <c r="X318" s="2"/>
    </row>
    <row r="319" ht="15.75" customHeight="1">
      <c r="R319" s="2"/>
      <c r="S319" s="2"/>
      <c r="T319" s="2"/>
      <c r="U319" s="2"/>
      <c r="V319" s="2"/>
      <c r="W319" s="2"/>
      <c r="X319" s="2"/>
    </row>
    <row r="320" ht="15.75" customHeight="1">
      <c r="R320" s="2"/>
      <c r="S320" s="2"/>
      <c r="T320" s="2"/>
      <c r="U320" s="2"/>
      <c r="V320" s="2"/>
      <c r="W320" s="2"/>
      <c r="X320" s="2"/>
    </row>
    <row r="321" ht="15.75" customHeight="1">
      <c r="R321" s="2"/>
      <c r="S321" s="2"/>
      <c r="T321" s="2"/>
      <c r="U321" s="2"/>
      <c r="V321" s="2"/>
      <c r="W321" s="2"/>
      <c r="X321" s="2"/>
    </row>
    <row r="322" ht="15.75" customHeight="1">
      <c r="R322" s="2"/>
      <c r="S322" s="2"/>
      <c r="T322" s="2"/>
      <c r="U322" s="2"/>
      <c r="V322" s="2"/>
      <c r="W322" s="2"/>
      <c r="X322" s="2"/>
    </row>
    <row r="323" ht="15.75" customHeight="1">
      <c r="R323" s="2"/>
      <c r="S323" s="2"/>
      <c r="T323" s="2"/>
      <c r="U323" s="2"/>
      <c r="V323" s="2"/>
      <c r="W323" s="2"/>
      <c r="X323" s="2"/>
    </row>
    <row r="324" ht="15.75" customHeight="1">
      <c r="R324" s="2"/>
      <c r="S324" s="2"/>
      <c r="T324" s="2"/>
      <c r="U324" s="2"/>
      <c r="V324" s="2"/>
      <c r="W324" s="2"/>
      <c r="X324" s="2"/>
    </row>
    <row r="325" ht="15.75" customHeight="1">
      <c r="R325" s="2"/>
      <c r="S325" s="2"/>
      <c r="T325" s="2"/>
      <c r="U325" s="2"/>
      <c r="V325" s="2"/>
      <c r="W325" s="2"/>
      <c r="X325" s="2"/>
    </row>
    <row r="326" ht="15.75" customHeight="1">
      <c r="R326" s="2"/>
      <c r="S326" s="2"/>
      <c r="T326" s="2"/>
      <c r="U326" s="2"/>
      <c r="V326" s="2"/>
      <c r="W326" s="2"/>
      <c r="X326" s="2"/>
    </row>
    <row r="327" ht="15.75" customHeight="1">
      <c r="R327" s="2"/>
      <c r="S327" s="2"/>
      <c r="T327" s="2"/>
      <c r="U327" s="2"/>
      <c r="V327" s="2"/>
      <c r="W327" s="2"/>
      <c r="X327" s="2"/>
    </row>
    <row r="328" ht="15.75" customHeight="1">
      <c r="R328" s="2"/>
      <c r="S328" s="2"/>
      <c r="T328" s="2"/>
      <c r="U328" s="2"/>
      <c r="V328" s="2"/>
      <c r="W328" s="2"/>
      <c r="X328" s="2"/>
    </row>
    <row r="329" ht="15.75" customHeight="1">
      <c r="R329" s="2"/>
      <c r="S329" s="2"/>
      <c r="T329" s="2"/>
      <c r="U329" s="2"/>
      <c r="V329" s="2"/>
      <c r="W329" s="2"/>
      <c r="X329" s="2"/>
    </row>
    <row r="330" ht="15.75" customHeight="1">
      <c r="R330" s="2"/>
      <c r="S330" s="2"/>
      <c r="T330" s="2"/>
      <c r="U330" s="2"/>
      <c r="V330" s="2"/>
      <c r="W330" s="2"/>
      <c r="X330" s="2"/>
    </row>
    <row r="331" ht="15.75" customHeight="1">
      <c r="R331" s="2"/>
      <c r="S331" s="2"/>
      <c r="T331" s="2"/>
      <c r="U331" s="2"/>
      <c r="V331" s="2"/>
      <c r="W331" s="2"/>
      <c r="X331" s="2"/>
    </row>
    <row r="332" ht="15.75" customHeight="1">
      <c r="R332" s="2"/>
      <c r="S332" s="2"/>
      <c r="T332" s="2"/>
      <c r="U332" s="2"/>
      <c r="V332" s="2"/>
      <c r="W332" s="2"/>
      <c r="X332" s="2"/>
    </row>
    <row r="333" ht="15.75" customHeight="1">
      <c r="R333" s="2"/>
      <c r="S333" s="2"/>
      <c r="T333" s="2"/>
      <c r="U333" s="2"/>
      <c r="V333" s="2"/>
      <c r="W333" s="2"/>
      <c r="X333" s="2"/>
    </row>
    <row r="334" ht="15.75" customHeight="1">
      <c r="R334" s="2"/>
      <c r="S334" s="2"/>
      <c r="T334" s="2"/>
      <c r="U334" s="2"/>
      <c r="V334" s="2"/>
      <c r="W334" s="2"/>
      <c r="X334" s="2"/>
    </row>
    <row r="335" ht="15.75" customHeight="1">
      <c r="R335" s="2"/>
      <c r="S335" s="2"/>
      <c r="T335" s="2"/>
      <c r="U335" s="2"/>
      <c r="V335" s="2"/>
      <c r="W335" s="2"/>
      <c r="X335" s="2"/>
    </row>
    <row r="336" ht="15.75" customHeight="1">
      <c r="R336" s="2"/>
      <c r="S336" s="2"/>
      <c r="T336" s="2"/>
      <c r="U336" s="2"/>
      <c r="V336" s="2"/>
      <c r="W336" s="2"/>
      <c r="X336" s="2"/>
    </row>
    <row r="337" ht="15.75" customHeight="1">
      <c r="R337" s="2"/>
      <c r="S337" s="2"/>
      <c r="T337" s="2"/>
      <c r="U337" s="2"/>
      <c r="V337" s="2"/>
      <c r="W337" s="2"/>
      <c r="X337" s="2"/>
    </row>
    <row r="338" ht="15.75" customHeight="1">
      <c r="R338" s="2"/>
      <c r="S338" s="2"/>
      <c r="T338" s="2"/>
      <c r="U338" s="2"/>
      <c r="V338" s="2"/>
      <c r="W338" s="2"/>
      <c r="X338" s="2"/>
    </row>
    <row r="339" ht="15.75" customHeight="1">
      <c r="R339" s="2"/>
      <c r="S339" s="2"/>
      <c r="T339" s="2"/>
      <c r="U339" s="2"/>
      <c r="V339" s="2"/>
      <c r="W339" s="2"/>
      <c r="X339" s="2"/>
    </row>
    <row r="340" ht="15.75" customHeight="1">
      <c r="R340" s="2"/>
      <c r="S340" s="2"/>
      <c r="T340" s="2"/>
      <c r="U340" s="2"/>
      <c r="V340" s="2"/>
      <c r="W340" s="2"/>
      <c r="X340" s="2"/>
    </row>
    <row r="341" ht="15.75" customHeight="1">
      <c r="R341" s="2"/>
      <c r="S341" s="2"/>
      <c r="T341" s="2"/>
      <c r="U341" s="2"/>
      <c r="V341" s="2"/>
      <c r="W341" s="2"/>
      <c r="X341" s="2"/>
    </row>
    <row r="342" ht="15.75" customHeight="1">
      <c r="R342" s="2"/>
      <c r="S342" s="2"/>
      <c r="T342" s="2"/>
      <c r="U342" s="2"/>
      <c r="V342" s="2"/>
      <c r="W342" s="2"/>
      <c r="X342" s="2"/>
    </row>
    <row r="343" ht="15.75" customHeight="1">
      <c r="R343" s="2"/>
      <c r="S343" s="2"/>
      <c r="T343" s="2"/>
      <c r="U343" s="2"/>
      <c r="V343" s="2"/>
      <c r="W343" s="2"/>
      <c r="X343" s="2"/>
    </row>
    <row r="344" ht="15.75" customHeight="1">
      <c r="R344" s="2"/>
      <c r="S344" s="2"/>
      <c r="T344" s="2"/>
      <c r="U344" s="2"/>
      <c r="V344" s="2"/>
      <c r="W344" s="2"/>
      <c r="X344" s="2"/>
    </row>
    <row r="345" ht="15.75" customHeight="1">
      <c r="R345" s="2"/>
      <c r="S345" s="2"/>
      <c r="T345" s="2"/>
      <c r="U345" s="2"/>
      <c r="V345" s="2"/>
      <c r="W345" s="2"/>
      <c r="X345" s="2"/>
    </row>
    <row r="346" ht="15.75" customHeight="1">
      <c r="R346" s="2"/>
      <c r="S346" s="2"/>
      <c r="T346" s="2"/>
      <c r="U346" s="2"/>
      <c r="V346" s="2"/>
      <c r="W346" s="2"/>
      <c r="X346" s="2"/>
    </row>
    <row r="347" ht="15.75" customHeight="1">
      <c r="R347" s="2"/>
      <c r="S347" s="2"/>
      <c r="T347" s="2"/>
      <c r="U347" s="2"/>
      <c r="V347" s="2"/>
      <c r="W347" s="2"/>
      <c r="X347" s="2"/>
    </row>
    <row r="348" ht="15.75" customHeight="1">
      <c r="R348" s="2"/>
      <c r="S348" s="2"/>
      <c r="T348" s="2"/>
      <c r="U348" s="2"/>
      <c r="V348" s="2"/>
      <c r="W348" s="2"/>
      <c r="X348" s="2"/>
    </row>
    <row r="349" ht="15.75" customHeight="1">
      <c r="R349" s="2"/>
      <c r="S349" s="2"/>
      <c r="T349" s="2"/>
      <c r="U349" s="2"/>
      <c r="V349" s="2"/>
      <c r="W349" s="2"/>
      <c r="X349" s="2"/>
    </row>
    <row r="350" ht="15.75" customHeight="1">
      <c r="R350" s="2"/>
      <c r="S350" s="2"/>
      <c r="T350" s="2"/>
      <c r="U350" s="2"/>
      <c r="V350" s="2"/>
      <c r="W350" s="2"/>
      <c r="X350" s="2"/>
    </row>
    <row r="351" ht="15.75" customHeight="1">
      <c r="R351" s="2"/>
      <c r="S351" s="2"/>
      <c r="T351" s="2"/>
      <c r="U351" s="2"/>
      <c r="V351" s="2"/>
      <c r="W351" s="2"/>
      <c r="X351" s="2"/>
    </row>
    <row r="352" ht="15.75" customHeight="1">
      <c r="R352" s="2"/>
      <c r="S352" s="2"/>
      <c r="T352" s="2"/>
      <c r="U352" s="2"/>
      <c r="V352" s="2"/>
      <c r="W352" s="2"/>
      <c r="X352" s="2"/>
    </row>
    <row r="353" ht="15.75" customHeight="1">
      <c r="R353" s="2"/>
      <c r="S353" s="2"/>
      <c r="T353" s="2"/>
      <c r="U353" s="2"/>
      <c r="V353" s="2"/>
      <c r="W353" s="2"/>
      <c r="X353" s="2"/>
    </row>
    <row r="354" ht="15.75" customHeight="1">
      <c r="R354" s="2"/>
      <c r="S354" s="2"/>
      <c r="T354" s="2"/>
      <c r="U354" s="2"/>
      <c r="V354" s="2"/>
      <c r="W354" s="2"/>
      <c r="X354" s="2"/>
    </row>
    <row r="355" ht="15.75" customHeight="1">
      <c r="R355" s="2"/>
      <c r="S355" s="2"/>
      <c r="T355" s="2"/>
      <c r="U355" s="2"/>
      <c r="V355" s="2"/>
      <c r="W355" s="2"/>
      <c r="X355" s="2"/>
    </row>
    <row r="356" ht="15.75" customHeight="1">
      <c r="R356" s="2"/>
      <c r="S356" s="2"/>
      <c r="T356" s="2"/>
      <c r="U356" s="2"/>
      <c r="V356" s="2"/>
      <c r="W356" s="2"/>
      <c r="X356" s="2"/>
    </row>
    <row r="357" ht="15.75" customHeight="1">
      <c r="R357" s="2"/>
      <c r="S357" s="2"/>
      <c r="T357" s="2"/>
      <c r="U357" s="2"/>
      <c r="V357" s="2"/>
      <c r="W357" s="2"/>
      <c r="X357" s="2"/>
    </row>
    <row r="358" ht="15.75" customHeight="1">
      <c r="R358" s="2"/>
      <c r="S358" s="2"/>
      <c r="T358" s="2"/>
      <c r="U358" s="2"/>
      <c r="V358" s="2"/>
      <c r="W358" s="2"/>
      <c r="X358" s="2"/>
    </row>
    <row r="359" ht="15.75" customHeight="1">
      <c r="R359" s="2"/>
      <c r="S359" s="2"/>
      <c r="T359" s="2"/>
      <c r="U359" s="2"/>
      <c r="V359" s="2"/>
      <c r="W359" s="2"/>
      <c r="X359" s="2"/>
    </row>
    <row r="360" ht="15.75" customHeight="1">
      <c r="R360" s="2"/>
      <c r="S360" s="2"/>
      <c r="T360" s="2"/>
      <c r="U360" s="2"/>
      <c r="V360" s="2"/>
      <c r="W360" s="2"/>
      <c r="X360" s="2"/>
    </row>
    <row r="361" ht="15.75" customHeight="1">
      <c r="R361" s="2"/>
      <c r="S361" s="2"/>
      <c r="T361" s="2"/>
      <c r="U361" s="2"/>
      <c r="V361" s="2"/>
      <c r="W361" s="2"/>
      <c r="X361" s="2"/>
    </row>
    <row r="362" ht="15.75" customHeight="1">
      <c r="R362" s="2"/>
      <c r="S362" s="2"/>
      <c r="T362" s="2"/>
      <c r="U362" s="2"/>
      <c r="V362" s="2"/>
      <c r="W362" s="2"/>
      <c r="X362" s="2"/>
    </row>
    <row r="363" ht="15.75" customHeight="1">
      <c r="R363" s="2"/>
      <c r="S363" s="2"/>
      <c r="T363" s="2"/>
      <c r="U363" s="2"/>
      <c r="V363" s="2"/>
      <c r="W363" s="2"/>
      <c r="X363" s="2"/>
    </row>
    <row r="364" ht="15.75" customHeight="1">
      <c r="R364" s="2"/>
      <c r="S364" s="2"/>
      <c r="T364" s="2"/>
      <c r="U364" s="2"/>
      <c r="V364" s="2"/>
      <c r="W364" s="2"/>
      <c r="X364" s="2"/>
    </row>
    <row r="365" ht="15.75" customHeight="1">
      <c r="R365" s="2"/>
      <c r="S365" s="2"/>
      <c r="T365" s="2"/>
      <c r="U365" s="2"/>
      <c r="V365" s="2"/>
      <c r="W365" s="2"/>
      <c r="X365" s="2"/>
    </row>
    <row r="366" ht="15.75" customHeight="1">
      <c r="R366" s="2"/>
      <c r="S366" s="2"/>
      <c r="T366" s="2"/>
      <c r="U366" s="2"/>
      <c r="V366" s="2"/>
      <c r="W366" s="2"/>
      <c r="X366" s="2"/>
    </row>
    <row r="367" ht="15.75" customHeight="1">
      <c r="R367" s="2"/>
      <c r="S367" s="2"/>
      <c r="T367" s="2"/>
      <c r="U367" s="2"/>
      <c r="V367" s="2"/>
      <c r="W367" s="2"/>
      <c r="X367" s="2"/>
    </row>
    <row r="368" ht="15.75" customHeight="1">
      <c r="R368" s="2"/>
      <c r="S368" s="2"/>
      <c r="T368" s="2"/>
      <c r="U368" s="2"/>
      <c r="V368" s="2"/>
      <c r="W368" s="2"/>
      <c r="X368" s="2"/>
    </row>
    <row r="369" ht="15.75" customHeight="1">
      <c r="R369" s="2"/>
      <c r="S369" s="2"/>
      <c r="T369" s="2"/>
      <c r="U369" s="2"/>
      <c r="V369" s="2"/>
      <c r="W369" s="2"/>
      <c r="X369" s="2"/>
    </row>
    <row r="370" ht="15.75" customHeight="1">
      <c r="R370" s="2"/>
      <c r="S370" s="2"/>
      <c r="T370" s="2"/>
      <c r="U370" s="2"/>
      <c r="V370" s="2"/>
      <c r="W370" s="2"/>
      <c r="X370" s="2"/>
    </row>
    <row r="371" ht="15.75" customHeight="1">
      <c r="R371" s="2"/>
      <c r="S371" s="2"/>
      <c r="T371" s="2"/>
      <c r="U371" s="2"/>
      <c r="V371" s="2"/>
      <c r="W371" s="2"/>
      <c r="X371" s="2"/>
    </row>
    <row r="372" ht="15.75" customHeight="1">
      <c r="R372" s="2"/>
      <c r="S372" s="2"/>
      <c r="T372" s="2"/>
      <c r="U372" s="2"/>
      <c r="V372" s="2"/>
      <c r="W372" s="2"/>
      <c r="X372" s="2"/>
    </row>
    <row r="373" ht="15.75" customHeight="1">
      <c r="R373" s="2"/>
      <c r="S373" s="2"/>
      <c r="T373" s="2"/>
      <c r="U373" s="2"/>
      <c r="V373" s="2"/>
      <c r="W373" s="2"/>
      <c r="X373" s="2"/>
    </row>
    <row r="374" ht="15.75" customHeight="1">
      <c r="R374" s="2"/>
      <c r="S374" s="2"/>
      <c r="T374" s="2"/>
      <c r="U374" s="2"/>
      <c r="V374" s="2"/>
      <c r="W374" s="2"/>
      <c r="X374" s="2"/>
    </row>
    <row r="375" ht="15.75" customHeight="1">
      <c r="R375" s="2"/>
      <c r="S375" s="2"/>
      <c r="T375" s="2"/>
      <c r="U375" s="2"/>
      <c r="V375" s="2"/>
      <c r="W375" s="2"/>
      <c r="X375" s="2"/>
    </row>
    <row r="376" ht="15.75" customHeight="1">
      <c r="R376" s="2"/>
      <c r="S376" s="2"/>
      <c r="T376" s="2"/>
      <c r="U376" s="2"/>
      <c r="V376" s="2"/>
      <c r="W376" s="2"/>
      <c r="X376" s="2"/>
    </row>
    <row r="377" ht="15.75" customHeight="1">
      <c r="R377" s="2"/>
      <c r="S377" s="2"/>
      <c r="T377" s="2"/>
      <c r="U377" s="2"/>
      <c r="V377" s="2"/>
      <c r="W377" s="2"/>
      <c r="X377" s="2"/>
    </row>
    <row r="378" ht="15.75" customHeight="1">
      <c r="R378" s="2"/>
      <c r="S378" s="2"/>
      <c r="T378" s="2"/>
      <c r="U378" s="2"/>
      <c r="V378" s="2"/>
      <c r="W378" s="2"/>
      <c r="X378" s="2"/>
    </row>
    <row r="379" ht="15.75" customHeight="1">
      <c r="R379" s="2"/>
      <c r="S379" s="2"/>
      <c r="T379" s="2"/>
      <c r="U379" s="2"/>
      <c r="V379" s="2"/>
      <c r="W379" s="2"/>
      <c r="X379" s="2"/>
    </row>
    <row r="380" ht="15.75" customHeight="1">
      <c r="R380" s="2"/>
      <c r="S380" s="2"/>
      <c r="T380" s="2"/>
      <c r="U380" s="2"/>
      <c r="V380" s="2"/>
      <c r="W380" s="2"/>
      <c r="X380" s="2"/>
    </row>
    <row r="381" ht="15.75" customHeight="1">
      <c r="R381" s="2"/>
      <c r="S381" s="2"/>
      <c r="T381" s="2"/>
      <c r="U381" s="2"/>
      <c r="V381" s="2"/>
      <c r="W381" s="2"/>
      <c r="X381" s="2"/>
    </row>
    <row r="382" ht="15.75" customHeight="1">
      <c r="R382" s="2"/>
      <c r="S382" s="2"/>
      <c r="T382" s="2"/>
      <c r="U382" s="2"/>
      <c r="V382" s="2"/>
      <c r="W382" s="2"/>
      <c r="X382" s="2"/>
    </row>
    <row r="383" ht="15.75" customHeight="1">
      <c r="R383" s="2"/>
      <c r="S383" s="2"/>
      <c r="T383" s="2"/>
      <c r="U383" s="2"/>
      <c r="V383" s="2"/>
      <c r="W383" s="2"/>
      <c r="X383" s="2"/>
    </row>
    <row r="384" ht="15.75" customHeight="1">
      <c r="R384" s="2"/>
      <c r="S384" s="2"/>
      <c r="T384" s="2"/>
      <c r="U384" s="2"/>
      <c r="V384" s="2"/>
      <c r="W384" s="2"/>
      <c r="X384" s="2"/>
    </row>
    <row r="385" ht="15.75" customHeight="1">
      <c r="R385" s="2"/>
      <c r="S385" s="2"/>
      <c r="T385" s="2"/>
      <c r="U385" s="2"/>
      <c r="V385" s="2"/>
      <c r="W385" s="2"/>
      <c r="X385" s="2"/>
    </row>
    <row r="386" ht="15.75" customHeight="1">
      <c r="R386" s="2"/>
      <c r="S386" s="2"/>
      <c r="T386" s="2"/>
      <c r="U386" s="2"/>
      <c r="V386" s="2"/>
      <c r="W386" s="2"/>
      <c r="X386" s="2"/>
    </row>
    <row r="387" ht="15.75" customHeight="1">
      <c r="R387" s="2"/>
      <c r="S387" s="2"/>
      <c r="T387" s="2"/>
      <c r="U387" s="2"/>
      <c r="V387" s="2"/>
      <c r="W387" s="2"/>
      <c r="X387" s="2"/>
    </row>
    <row r="388" ht="15.75" customHeight="1">
      <c r="R388" s="2"/>
      <c r="S388" s="2"/>
      <c r="T388" s="2"/>
      <c r="U388" s="2"/>
      <c r="V388" s="2"/>
      <c r="W388" s="2"/>
      <c r="X388" s="2"/>
    </row>
    <row r="389" ht="15.75" customHeight="1">
      <c r="R389" s="2"/>
      <c r="S389" s="2"/>
      <c r="T389" s="2"/>
      <c r="U389" s="2"/>
      <c r="V389" s="2"/>
      <c r="W389" s="2"/>
      <c r="X389" s="2"/>
    </row>
    <row r="390" ht="15.75" customHeight="1">
      <c r="R390" s="2"/>
      <c r="S390" s="2"/>
      <c r="T390" s="2"/>
      <c r="U390" s="2"/>
      <c r="V390" s="2"/>
      <c r="W390" s="2"/>
      <c r="X390" s="2"/>
    </row>
    <row r="391" ht="15.75" customHeight="1">
      <c r="R391" s="2"/>
      <c r="S391" s="2"/>
      <c r="T391" s="2"/>
      <c r="U391" s="2"/>
      <c r="V391" s="2"/>
      <c r="W391" s="2"/>
      <c r="X391" s="2"/>
    </row>
    <row r="392" ht="15.75" customHeight="1">
      <c r="R392" s="2"/>
      <c r="S392" s="2"/>
      <c r="T392" s="2"/>
      <c r="U392" s="2"/>
      <c r="V392" s="2"/>
      <c r="W392" s="2"/>
      <c r="X392" s="2"/>
    </row>
    <row r="393" ht="15.75" customHeight="1">
      <c r="R393" s="2"/>
      <c r="S393" s="2"/>
      <c r="T393" s="2"/>
      <c r="U393" s="2"/>
      <c r="V393" s="2"/>
      <c r="W393" s="2"/>
      <c r="X393" s="2"/>
    </row>
    <row r="394" ht="15.75" customHeight="1">
      <c r="R394" s="2"/>
      <c r="S394" s="2"/>
      <c r="T394" s="2"/>
      <c r="U394" s="2"/>
      <c r="V394" s="2"/>
      <c r="W394" s="2"/>
      <c r="X394" s="2"/>
    </row>
    <row r="395" ht="15.75" customHeight="1">
      <c r="R395" s="2"/>
      <c r="S395" s="2"/>
      <c r="T395" s="2"/>
      <c r="U395" s="2"/>
      <c r="V395" s="2"/>
      <c r="W395" s="2"/>
      <c r="X395" s="2"/>
    </row>
    <row r="396" ht="15.75" customHeight="1">
      <c r="R396" s="2"/>
      <c r="S396" s="2"/>
      <c r="T396" s="2"/>
      <c r="U396" s="2"/>
      <c r="V396" s="2"/>
      <c r="W396" s="2"/>
      <c r="X396" s="2"/>
    </row>
    <row r="397" ht="15.75" customHeight="1">
      <c r="R397" s="2"/>
      <c r="S397" s="2"/>
      <c r="T397" s="2"/>
      <c r="U397" s="2"/>
      <c r="V397" s="2"/>
      <c r="W397" s="2"/>
      <c r="X397" s="2"/>
    </row>
    <row r="398" ht="15.75" customHeight="1">
      <c r="R398" s="2"/>
      <c r="S398" s="2"/>
      <c r="T398" s="2"/>
      <c r="U398" s="2"/>
      <c r="V398" s="2"/>
      <c r="W398" s="2"/>
      <c r="X398" s="2"/>
    </row>
    <row r="399" ht="15.75" customHeight="1">
      <c r="R399" s="2"/>
      <c r="S399" s="2"/>
      <c r="T399" s="2"/>
      <c r="U399" s="2"/>
      <c r="V399" s="2"/>
      <c r="W399" s="2"/>
      <c r="X399" s="2"/>
    </row>
    <row r="400" ht="15.75" customHeight="1">
      <c r="R400" s="2"/>
      <c r="S400" s="2"/>
      <c r="T400" s="2"/>
      <c r="U400" s="2"/>
      <c r="V400" s="2"/>
      <c r="W400" s="2"/>
      <c r="X400" s="2"/>
    </row>
    <row r="401" ht="15.75" customHeight="1">
      <c r="R401" s="2"/>
      <c r="S401" s="2"/>
      <c r="T401" s="2"/>
      <c r="U401" s="2"/>
      <c r="V401" s="2"/>
      <c r="W401" s="2"/>
      <c r="X401" s="2"/>
    </row>
    <row r="402" ht="15.75" customHeight="1">
      <c r="R402" s="2"/>
      <c r="S402" s="2"/>
      <c r="T402" s="2"/>
      <c r="U402" s="2"/>
      <c r="V402" s="2"/>
      <c r="W402" s="2"/>
      <c r="X402" s="2"/>
    </row>
    <row r="403" ht="15.75" customHeight="1">
      <c r="R403" s="2"/>
      <c r="S403" s="2"/>
      <c r="T403" s="2"/>
      <c r="U403" s="2"/>
      <c r="V403" s="2"/>
      <c r="W403" s="2"/>
      <c r="X403" s="2"/>
    </row>
    <row r="404" ht="15.75" customHeight="1">
      <c r="R404" s="2"/>
      <c r="S404" s="2"/>
      <c r="T404" s="2"/>
      <c r="U404" s="2"/>
      <c r="V404" s="2"/>
      <c r="W404" s="2"/>
      <c r="X404" s="2"/>
    </row>
    <row r="405" ht="15.75" customHeight="1">
      <c r="R405" s="2"/>
      <c r="S405" s="2"/>
      <c r="T405" s="2"/>
      <c r="U405" s="2"/>
      <c r="V405" s="2"/>
      <c r="W405" s="2"/>
      <c r="X405" s="2"/>
    </row>
    <row r="406" ht="15.75" customHeight="1">
      <c r="R406" s="2"/>
      <c r="S406" s="2"/>
      <c r="T406" s="2"/>
      <c r="U406" s="2"/>
      <c r="V406" s="2"/>
      <c r="W406" s="2"/>
      <c r="X406" s="2"/>
    </row>
    <row r="407" ht="15.75" customHeight="1">
      <c r="R407" s="2"/>
      <c r="S407" s="2"/>
      <c r="T407" s="2"/>
      <c r="U407" s="2"/>
      <c r="V407" s="2"/>
      <c r="W407" s="2"/>
      <c r="X407" s="2"/>
    </row>
    <row r="408" ht="15.75" customHeight="1">
      <c r="R408" s="2"/>
      <c r="S408" s="2"/>
      <c r="T408" s="2"/>
      <c r="U408" s="2"/>
      <c r="V408" s="2"/>
      <c r="W408" s="2"/>
      <c r="X408" s="2"/>
    </row>
    <row r="409" ht="15.75" customHeight="1">
      <c r="R409" s="2"/>
      <c r="S409" s="2"/>
      <c r="T409" s="2"/>
      <c r="U409" s="2"/>
      <c r="V409" s="2"/>
      <c r="W409" s="2"/>
      <c r="X409" s="2"/>
    </row>
    <row r="410" ht="15.75" customHeight="1">
      <c r="R410" s="2"/>
      <c r="S410" s="2"/>
      <c r="T410" s="2"/>
      <c r="U410" s="2"/>
      <c r="V410" s="2"/>
      <c r="W410" s="2"/>
      <c r="X410" s="2"/>
    </row>
    <row r="411" ht="15.75" customHeight="1">
      <c r="R411" s="2"/>
      <c r="S411" s="2"/>
      <c r="T411" s="2"/>
      <c r="U411" s="2"/>
      <c r="V411" s="2"/>
      <c r="W411" s="2"/>
      <c r="X411" s="2"/>
    </row>
    <row r="412" ht="15.75" customHeight="1">
      <c r="R412" s="2"/>
      <c r="S412" s="2"/>
      <c r="T412" s="2"/>
      <c r="U412" s="2"/>
      <c r="V412" s="2"/>
      <c r="W412" s="2"/>
      <c r="X412" s="2"/>
    </row>
    <row r="413" ht="15.75" customHeight="1">
      <c r="R413" s="2"/>
      <c r="S413" s="2"/>
      <c r="T413" s="2"/>
      <c r="U413" s="2"/>
      <c r="V413" s="2"/>
      <c r="W413" s="2"/>
      <c r="X413" s="2"/>
    </row>
    <row r="414" ht="15.75" customHeight="1">
      <c r="R414" s="2"/>
      <c r="S414" s="2"/>
      <c r="T414" s="2"/>
      <c r="U414" s="2"/>
      <c r="V414" s="2"/>
      <c r="W414" s="2"/>
      <c r="X414" s="2"/>
    </row>
    <row r="415" ht="15.75" customHeight="1">
      <c r="R415" s="2"/>
      <c r="S415" s="2"/>
      <c r="T415" s="2"/>
      <c r="U415" s="2"/>
      <c r="V415" s="2"/>
      <c r="W415" s="2"/>
      <c r="X415" s="2"/>
    </row>
    <row r="416" ht="15.75" customHeight="1">
      <c r="R416" s="2"/>
      <c r="S416" s="2"/>
      <c r="T416" s="2"/>
      <c r="U416" s="2"/>
      <c r="V416" s="2"/>
      <c r="W416" s="2"/>
      <c r="X416" s="2"/>
    </row>
    <row r="417" ht="15.75" customHeight="1">
      <c r="R417" s="2"/>
      <c r="S417" s="2"/>
      <c r="T417" s="2"/>
      <c r="U417" s="2"/>
      <c r="V417" s="2"/>
      <c r="W417" s="2"/>
      <c r="X417" s="2"/>
    </row>
    <row r="418" ht="15.75" customHeight="1">
      <c r="R418" s="2"/>
      <c r="S418" s="2"/>
      <c r="T418" s="2"/>
      <c r="U418" s="2"/>
      <c r="V418" s="2"/>
      <c r="W418" s="2"/>
      <c r="X418" s="2"/>
    </row>
    <row r="419" ht="15.75" customHeight="1">
      <c r="R419" s="2"/>
      <c r="S419" s="2"/>
      <c r="T419" s="2"/>
      <c r="U419" s="2"/>
      <c r="V419" s="2"/>
      <c r="W419" s="2"/>
      <c r="X419" s="2"/>
    </row>
    <row r="420" ht="15.75" customHeight="1">
      <c r="R420" s="2"/>
      <c r="S420" s="2"/>
      <c r="T420" s="2"/>
      <c r="U420" s="2"/>
      <c r="V420" s="2"/>
      <c r="W420" s="2"/>
      <c r="X420" s="2"/>
    </row>
    <row r="421" ht="15.75" customHeight="1">
      <c r="R421" s="2"/>
      <c r="S421" s="2"/>
      <c r="T421" s="2"/>
      <c r="U421" s="2"/>
      <c r="V421" s="2"/>
      <c r="W421" s="2"/>
      <c r="X421" s="2"/>
    </row>
    <row r="422" ht="15.75" customHeight="1">
      <c r="R422" s="2"/>
      <c r="S422" s="2"/>
      <c r="T422" s="2"/>
      <c r="U422" s="2"/>
      <c r="V422" s="2"/>
      <c r="W422" s="2"/>
      <c r="X422" s="2"/>
    </row>
    <row r="423" ht="15.75" customHeight="1">
      <c r="R423" s="2"/>
      <c r="S423" s="2"/>
      <c r="T423" s="2"/>
      <c r="U423" s="2"/>
      <c r="V423" s="2"/>
      <c r="W423" s="2"/>
      <c r="X423" s="2"/>
    </row>
    <row r="424" ht="15.75" customHeight="1">
      <c r="R424" s="2"/>
      <c r="S424" s="2"/>
      <c r="T424" s="2"/>
      <c r="U424" s="2"/>
      <c r="V424" s="2"/>
      <c r="W424" s="2"/>
      <c r="X424" s="2"/>
    </row>
    <row r="425" ht="15.75" customHeight="1">
      <c r="R425" s="2"/>
      <c r="S425" s="2"/>
      <c r="T425" s="2"/>
      <c r="U425" s="2"/>
      <c r="V425" s="2"/>
      <c r="W425" s="2"/>
      <c r="X425" s="2"/>
    </row>
    <row r="426" ht="15.75" customHeight="1">
      <c r="R426" s="2"/>
      <c r="S426" s="2"/>
      <c r="T426" s="2"/>
      <c r="U426" s="2"/>
      <c r="V426" s="2"/>
      <c r="W426" s="2"/>
      <c r="X426" s="2"/>
    </row>
    <row r="427" ht="15.75" customHeight="1">
      <c r="R427" s="2"/>
      <c r="S427" s="2"/>
      <c r="T427" s="2"/>
      <c r="U427" s="2"/>
      <c r="V427" s="2"/>
      <c r="W427" s="2"/>
      <c r="X427" s="2"/>
    </row>
    <row r="428" ht="15.75" customHeight="1">
      <c r="R428" s="2"/>
      <c r="S428" s="2"/>
      <c r="T428" s="2"/>
      <c r="U428" s="2"/>
      <c r="V428" s="2"/>
      <c r="W428" s="2"/>
      <c r="X428" s="2"/>
    </row>
    <row r="429" ht="15.75" customHeight="1">
      <c r="R429" s="2"/>
      <c r="S429" s="2"/>
      <c r="T429" s="2"/>
      <c r="U429" s="2"/>
      <c r="V429" s="2"/>
      <c r="W429" s="2"/>
      <c r="X429" s="2"/>
    </row>
    <row r="430" ht="15.75" customHeight="1">
      <c r="R430" s="2"/>
      <c r="S430" s="2"/>
      <c r="T430" s="2"/>
      <c r="U430" s="2"/>
      <c r="V430" s="2"/>
      <c r="W430" s="2"/>
      <c r="X430" s="2"/>
    </row>
    <row r="431" ht="15.75" customHeight="1">
      <c r="R431" s="2"/>
      <c r="S431" s="2"/>
      <c r="T431" s="2"/>
      <c r="U431" s="2"/>
      <c r="V431" s="2"/>
      <c r="W431" s="2"/>
      <c r="X431" s="2"/>
    </row>
    <row r="432" ht="15.75" customHeight="1">
      <c r="R432" s="2"/>
      <c r="S432" s="2"/>
      <c r="T432" s="2"/>
      <c r="U432" s="2"/>
      <c r="V432" s="2"/>
      <c r="W432" s="2"/>
      <c r="X432" s="2"/>
    </row>
    <row r="433" ht="15.75" customHeight="1">
      <c r="R433" s="2"/>
      <c r="S433" s="2"/>
      <c r="T433" s="2"/>
      <c r="U433" s="2"/>
      <c r="V433" s="2"/>
      <c r="W433" s="2"/>
      <c r="X433" s="2"/>
    </row>
    <row r="434" ht="15.75" customHeight="1">
      <c r="R434" s="2"/>
      <c r="S434" s="2"/>
      <c r="T434" s="2"/>
      <c r="U434" s="2"/>
      <c r="V434" s="2"/>
      <c r="W434" s="2"/>
      <c r="X434" s="2"/>
    </row>
    <row r="435" ht="15.75" customHeight="1">
      <c r="R435" s="2"/>
      <c r="S435" s="2"/>
      <c r="T435" s="2"/>
      <c r="U435" s="2"/>
      <c r="V435" s="2"/>
      <c r="W435" s="2"/>
      <c r="X435" s="2"/>
    </row>
    <row r="436" ht="15.75" customHeight="1">
      <c r="R436" s="2"/>
      <c r="S436" s="2"/>
      <c r="T436" s="2"/>
      <c r="U436" s="2"/>
      <c r="V436" s="2"/>
      <c r="W436" s="2"/>
      <c r="X436" s="2"/>
    </row>
    <row r="437" ht="15.75" customHeight="1">
      <c r="R437" s="2"/>
      <c r="S437" s="2"/>
      <c r="T437" s="2"/>
      <c r="U437" s="2"/>
      <c r="V437" s="2"/>
      <c r="W437" s="2"/>
      <c r="X437" s="2"/>
    </row>
    <row r="438" ht="15.75" customHeight="1">
      <c r="R438" s="2"/>
      <c r="S438" s="2"/>
      <c r="T438" s="2"/>
      <c r="U438" s="2"/>
      <c r="V438" s="2"/>
      <c r="W438" s="2"/>
      <c r="X438" s="2"/>
    </row>
    <row r="439" ht="15.75" customHeight="1">
      <c r="R439" s="2"/>
      <c r="S439" s="2"/>
      <c r="T439" s="2"/>
      <c r="U439" s="2"/>
      <c r="V439" s="2"/>
      <c r="W439" s="2"/>
      <c r="X439" s="2"/>
    </row>
    <row r="440" ht="15.75" customHeight="1">
      <c r="R440" s="2"/>
      <c r="S440" s="2"/>
      <c r="T440" s="2"/>
      <c r="U440" s="2"/>
      <c r="V440" s="2"/>
      <c r="W440" s="2"/>
      <c r="X440" s="2"/>
    </row>
    <row r="441" ht="15.75" customHeight="1">
      <c r="R441" s="2"/>
      <c r="S441" s="2"/>
      <c r="T441" s="2"/>
      <c r="U441" s="2"/>
      <c r="V441" s="2"/>
      <c r="W441" s="2"/>
      <c r="X441" s="2"/>
    </row>
    <row r="442" ht="15.75" customHeight="1">
      <c r="R442" s="2"/>
      <c r="S442" s="2"/>
      <c r="T442" s="2"/>
      <c r="U442" s="2"/>
      <c r="V442" s="2"/>
      <c r="W442" s="2"/>
      <c r="X442" s="2"/>
    </row>
    <row r="443" ht="15.75" customHeight="1">
      <c r="R443" s="2"/>
      <c r="S443" s="2"/>
      <c r="T443" s="2"/>
      <c r="U443" s="2"/>
      <c r="V443" s="2"/>
      <c r="W443" s="2"/>
      <c r="X443" s="2"/>
    </row>
    <row r="444" ht="15.75" customHeight="1">
      <c r="R444" s="2"/>
      <c r="S444" s="2"/>
      <c r="T444" s="2"/>
      <c r="U444" s="2"/>
      <c r="V444" s="2"/>
      <c r="W444" s="2"/>
      <c r="X444" s="2"/>
    </row>
    <row r="445" ht="15.75" customHeight="1">
      <c r="R445" s="2"/>
      <c r="S445" s="2"/>
      <c r="T445" s="2"/>
      <c r="U445" s="2"/>
      <c r="V445" s="2"/>
      <c r="W445" s="2"/>
      <c r="X445" s="2"/>
    </row>
    <row r="446" ht="15.75" customHeight="1">
      <c r="R446" s="2"/>
      <c r="S446" s="2"/>
      <c r="T446" s="2"/>
      <c r="U446" s="2"/>
      <c r="V446" s="2"/>
      <c r="W446" s="2"/>
      <c r="X446" s="2"/>
    </row>
    <row r="447" ht="15.75" customHeight="1">
      <c r="R447" s="2"/>
      <c r="S447" s="2"/>
      <c r="T447" s="2"/>
      <c r="U447" s="2"/>
      <c r="V447" s="2"/>
      <c r="W447" s="2"/>
      <c r="X447" s="2"/>
    </row>
    <row r="448" ht="15.75" customHeight="1">
      <c r="R448" s="2"/>
      <c r="S448" s="2"/>
      <c r="T448" s="2"/>
      <c r="U448" s="2"/>
      <c r="V448" s="2"/>
      <c r="W448" s="2"/>
      <c r="X448" s="2"/>
    </row>
    <row r="449" ht="15.75" customHeight="1">
      <c r="R449" s="2"/>
      <c r="S449" s="2"/>
      <c r="T449" s="2"/>
      <c r="U449" s="2"/>
      <c r="V449" s="2"/>
      <c r="W449" s="2"/>
      <c r="X449" s="2"/>
    </row>
    <row r="450" ht="15.75" customHeight="1">
      <c r="R450" s="2"/>
      <c r="S450" s="2"/>
      <c r="T450" s="2"/>
      <c r="U450" s="2"/>
      <c r="V450" s="2"/>
      <c r="W450" s="2"/>
      <c r="X450" s="2"/>
    </row>
    <row r="451" ht="15.75" customHeight="1">
      <c r="R451" s="2"/>
      <c r="S451" s="2"/>
      <c r="T451" s="2"/>
      <c r="U451" s="2"/>
      <c r="V451" s="2"/>
      <c r="W451" s="2"/>
      <c r="X451" s="2"/>
    </row>
    <row r="452" ht="15.75" customHeight="1">
      <c r="R452" s="2"/>
      <c r="S452" s="2"/>
      <c r="T452" s="2"/>
      <c r="U452" s="2"/>
      <c r="V452" s="2"/>
      <c r="W452" s="2"/>
      <c r="X452" s="2"/>
    </row>
    <row r="453" ht="15.75" customHeight="1">
      <c r="R453" s="2"/>
      <c r="S453" s="2"/>
      <c r="T453" s="2"/>
      <c r="U453" s="2"/>
      <c r="V453" s="2"/>
      <c r="W453" s="2"/>
      <c r="X453" s="2"/>
    </row>
    <row r="454" ht="15.75" customHeight="1">
      <c r="R454" s="2"/>
      <c r="S454" s="2"/>
      <c r="T454" s="2"/>
      <c r="U454" s="2"/>
      <c r="V454" s="2"/>
      <c r="W454" s="2"/>
      <c r="X454" s="2"/>
    </row>
    <row r="455" ht="15.75" customHeight="1">
      <c r="R455" s="2"/>
      <c r="S455" s="2"/>
      <c r="T455" s="2"/>
      <c r="U455" s="2"/>
      <c r="V455" s="2"/>
      <c r="W455" s="2"/>
      <c r="X455" s="2"/>
    </row>
    <row r="456" ht="15.75" customHeight="1">
      <c r="R456" s="2"/>
      <c r="S456" s="2"/>
      <c r="T456" s="2"/>
      <c r="U456" s="2"/>
      <c r="V456" s="2"/>
      <c r="W456" s="2"/>
      <c r="X456" s="2"/>
    </row>
    <row r="457" ht="15.75" customHeight="1">
      <c r="R457" s="2"/>
      <c r="S457" s="2"/>
      <c r="T457" s="2"/>
      <c r="U457" s="2"/>
      <c r="V457" s="2"/>
      <c r="W457" s="2"/>
      <c r="X457" s="2"/>
    </row>
    <row r="458" ht="15.75" customHeight="1">
      <c r="R458" s="2"/>
      <c r="S458" s="2"/>
      <c r="T458" s="2"/>
      <c r="U458" s="2"/>
      <c r="V458" s="2"/>
      <c r="W458" s="2"/>
      <c r="X458" s="2"/>
    </row>
    <row r="459" ht="15.75" customHeight="1">
      <c r="R459" s="2"/>
      <c r="S459" s="2"/>
      <c r="T459" s="2"/>
      <c r="U459" s="2"/>
      <c r="V459" s="2"/>
      <c r="W459" s="2"/>
      <c r="X459" s="2"/>
    </row>
    <row r="460" ht="15.75" customHeight="1">
      <c r="R460" s="2"/>
      <c r="S460" s="2"/>
      <c r="T460" s="2"/>
      <c r="U460" s="2"/>
      <c r="V460" s="2"/>
      <c r="W460" s="2"/>
      <c r="X460" s="2"/>
    </row>
    <row r="461" ht="15.75" customHeight="1">
      <c r="R461" s="2"/>
      <c r="S461" s="2"/>
      <c r="T461" s="2"/>
      <c r="U461" s="2"/>
      <c r="V461" s="2"/>
      <c r="W461" s="2"/>
      <c r="X461" s="2"/>
    </row>
    <row r="462" ht="15.75" customHeight="1">
      <c r="R462" s="2"/>
      <c r="S462" s="2"/>
      <c r="T462" s="2"/>
      <c r="U462" s="2"/>
      <c r="V462" s="2"/>
      <c r="W462" s="2"/>
      <c r="X462" s="2"/>
    </row>
    <row r="463" ht="15.75" customHeight="1">
      <c r="R463" s="2"/>
      <c r="S463" s="2"/>
      <c r="T463" s="2"/>
      <c r="U463" s="2"/>
      <c r="V463" s="2"/>
      <c r="W463" s="2"/>
      <c r="X463" s="2"/>
    </row>
    <row r="464" ht="15.75" customHeight="1">
      <c r="R464" s="2"/>
      <c r="S464" s="2"/>
      <c r="T464" s="2"/>
      <c r="U464" s="2"/>
      <c r="V464" s="2"/>
      <c r="W464" s="2"/>
      <c r="X464" s="2"/>
    </row>
    <row r="465" ht="15.75" customHeight="1">
      <c r="R465" s="2"/>
      <c r="S465" s="2"/>
      <c r="T465" s="2"/>
      <c r="U465" s="2"/>
      <c r="V465" s="2"/>
      <c r="W465" s="2"/>
      <c r="X465" s="2"/>
    </row>
    <row r="466" ht="15.75" customHeight="1">
      <c r="R466" s="2"/>
      <c r="S466" s="2"/>
      <c r="T466" s="2"/>
      <c r="U466" s="2"/>
      <c r="V466" s="2"/>
      <c r="W466" s="2"/>
      <c r="X466" s="2"/>
    </row>
    <row r="467" ht="15.75" customHeight="1">
      <c r="R467" s="2"/>
      <c r="S467" s="2"/>
      <c r="T467" s="2"/>
      <c r="U467" s="2"/>
      <c r="V467" s="2"/>
      <c r="W467" s="2"/>
      <c r="X467" s="2"/>
    </row>
    <row r="468" ht="15.75" customHeight="1">
      <c r="R468" s="2"/>
      <c r="S468" s="2"/>
      <c r="T468" s="2"/>
      <c r="U468" s="2"/>
      <c r="V468" s="2"/>
      <c r="W468" s="2"/>
      <c r="X468" s="2"/>
    </row>
    <row r="469" ht="15.75" customHeight="1">
      <c r="R469" s="2"/>
      <c r="S469" s="2"/>
      <c r="T469" s="2"/>
      <c r="U469" s="2"/>
      <c r="V469" s="2"/>
      <c r="W469" s="2"/>
      <c r="X469" s="2"/>
    </row>
    <row r="470" ht="15.75" customHeight="1">
      <c r="R470" s="2"/>
      <c r="S470" s="2"/>
      <c r="T470" s="2"/>
      <c r="U470" s="2"/>
      <c r="V470" s="2"/>
      <c r="W470" s="2"/>
      <c r="X470" s="2"/>
    </row>
    <row r="471" ht="15.75" customHeight="1">
      <c r="R471" s="2"/>
      <c r="S471" s="2"/>
      <c r="T471" s="2"/>
      <c r="U471" s="2"/>
      <c r="V471" s="2"/>
      <c r="W471" s="2"/>
      <c r="X471" s="2"/>
    </row>
    <row r="472" ht="15.75" customHeight="1">
      <c r="R472" s="2"/>
      <c r="S472" s="2"/>
      <c r="T472" s="2"/>
      <c r="U472" s="2"/>
      <c r="V472" s="2"/>
      <c r="W472" s="2"/>
      <c r="X472" s="2"/>
    </row>
    <row r="473" ht="15.75" customHeight="1">
      <c r="R473" s="2"/>
      <c r="S473" s="2"/>
      <c r="T473" s="2"/>
      <c r="U473" s="2"/>
      <c r="V473" s="2"/>
      <c r="W473" s="2"/>
      <c r="X473" s="2"/>
    </row>
    <row r="474" ht="15.75" customHeight="1">
      <c r="R474" s="2"/>
      <c r="S474" s="2"/>
      <c r="T474" s="2"/>
      <c r="U474" s="2"/>
      <c r="V474" s="2"/>
      <c r="W474" s="2"/>
      <c r="X474" s="2"/>
    </row>
    <row r="475" ht="15.75" customHeight="1">
      <c r="R475" s="2"/>
      <c r="S475" s="2"/>
      <c r="T475" s="2"/>
      <c r="U475" s="2"/>
      <c r="V475" s="2"/>
      <c r="W475" s="2"/>
      <c r="X475" s="2"/>
    </row>
    <row r="476" ht="15.75" customHeight="1">
      <c r="R476" s="2"/>
      <c r="S476" s="2"/>
      <c r="T476" s="2"/>
      <c r="U476" s="2"/>
      <c r="V476" s="2"/>
      <c r="W476" s="2"/>
      <c r="X476" s="2"/>
    </row>
    <row r="477" ht="15.75" customHeight="1">
      <c r="R477" s="2"/>
      <c r="S477" s="2"/>
      <c r="T477" s="2"/>
      <c r="U477" s="2"/>
      <c r="V477" s="2"/>
      <c r="W477" s="2"/>
      <c r="X477" s="2"/>
    </row>
    <row r="478" ht="15.75" customHeight="1">
      <c r="R478" s="2"/>
      <c r="S478" s="2"/>
      <c r="T478" s="2"/>
      <c r="U478" s="2"/>
      <c r="V478" s="2"/>
      <c r="W478" s="2"/>
      <c r="X478" s="2"/>
    </row>
    <row r="479" ht="15.75" customHeight="1">
      <c r="R479" s="2"/>
      <c r="S479" s="2"/>
      <c r="T479" s="2"/>
      <c r="U479" s="2"/>
      <c r="V479" s="2"/>
      <c r="W479" s="2"/>
      <c r="X479" s="2"/>
    </row>
    <row r="480" ht="15.75" customHeight="1">
      <c r="R480" s="2"/>
      <c r="S480" s="2"/>
      <c r="T480" s="2"/>
      <c r="U480" s="2"/>
      <c r="V480" s="2"/>
      <c r="W480" s="2"/>
      <c r="X480" s="2"/>
    </row>
    <row r="481" ht="15.75" customHeight="1">
      <c r="R481" s="2"/>
      <c r="S481" s="2"/>
      <c r="T481" s="2"/>
      <c r="U481" s="2"/>
      <c r="V481" s="2"/>
      <c r="W481" s="2"/>
      <c r="X481" s="2"/>
    </row>
    <row r="482" ht="15.75" customHeight="1">
      <c r="R482" s="2"/>
      <c r="S482" s="2"/>
      <c r="T482" s="2"/>
      <c r="U482" s="2"/>
      <c r="V482" s="2"/>
      <c r="W482" s="2"/>
      <c r="X482" s="2"/>
    </row>
    <row r="483" ht="15.75" customHeight="1">
      <c r="R483" s="2"/>
      <c r="S483" s="2"/>
      <c r="T483" s="2"/>
      <c r="U483" s="2"/>
      <c r="V483" s="2"/>
      <c r="W483" s="2"/>
      <c r="X483" s="2"/>
    </row>
    <row r="484" ht="15.75" customHeight="1">
      <c r="R484" s="2"/>
      <c r="S484" s="2"/>
      <c r="T484" s="2"/>
      <c r="U484" s="2"/>
      <c r="V484" s="2"/>
      <c r="W484" s="2"/>
      <c r="X484" s="2"/>
    </row>
    <row r="485" ht="15.75" customHeight="1">
      <c r="R485" s="2"/>
      <c r="S485" s="2"/>
      <c r="T485" s="2"/>
      <c r="U485" s="2"/>
      <c r="V485" s="2"/>
      <c r="W485" s="2"/>
      <c r="X485" s="2"/>
    </row>
    <row r="486" ht="15.75" customHeight="1">
      <c r="R486" s="2"/>
      <c r="S486" s="2"/>
      <c r="T486" s="2"/>
      <c r="U486" s="2"/>
      <c r="V486" s="2"/>
      <c r="W486" s="2"/>
      <c r="X486" s="2"/>
    </row>
    <row r="487" ht="15.75" customHeight="1">
      <c r="R487" s="2"/>
      <c r="S487" s="2"/>
      <c r="T487" s="2"/>
      <c r="U487" s="2"/>
      <c r="V487" s="2"/>
      <c r="W487" s="2"/>
      <c r="X487" s="2"/>
    </row>
    <row r="488" ht="15.75" customHeight="1">
      <c r="R488" s="2"/>
      <c r="S488" s="2"/>
      <c r="T488" s="2"/>
      <c r="U488" s="2"/>
      <c r="V488" s="2"/>
      <c r="W488" s="2"/>
      <c r="X488" s="2"/>
    </row>
    <row r="489" ht="15.75" customHeight="1">
      <c r="R489" s="2"/>
      <c r="S489" s="2"/>
      <c r="T489" s="2"/>
      <c r="U489" s="2"/>
      <c r="V489" s="2"/>
      <c r="W489" s="2"/>
      <c r="X489" s="2"/>
    </row>
    <row r="490" ht="15.75" customHeight="1">
      <c r="R490" s="2"/>
      <c r="S490" s="2"/>
      <c r="T490" s="2"/>
      <c r="U490" s="2"/>
      <c r="V490" s="2"/>
      <c r="W490" s="2"/>
      <c r="X490" s="2"/>
    </row>
    <row r="491" ht="15.75" customHeight="1">
      <c r="R491" s="2"/>
      <c r="S491" s="2"/>
      <c r="T491" s="2"/>
      <c r="U491" s="2"/>
      <c r="V491" s="2"/>
      <c r="W491" s="2"/>
      <c r="X491" s="2"/>
    </row>
    <row r="492" ht="15.75" customHeight="1">
      <c r="R492" s="2"/>
      <c r="S492" s="2"/>
      <c r="T492" s="2"/>
      <c r="U492" s="2"/>
      <c r="V492" s="2"/>
      <c r="W492" s="2"/>
      <c r="X492" s="2"/>
    </row>
    <row r="493" ht="15.75" customHeight="1">
      <c r="R493" s="2"/>
      <c r="S493" s="2"/>
      <c r="T493" s="2"/>
      <c r="U493" s="2"/>
      <c r="V493" s="2"/>
      <c r="W493" s="2"/>
      <c r="X493" s="2"/>
    </row>
    <row r="494" ht="15.75" customHeight="1">
      <c r="R494" s="2"/>
      <c r="S494" s="2"/>
      <c r="T494" s="2"/>
      <c r="U494" s="2"/>
      <c r="V494" s="2"/>
      <c r="W494" s="2"/>
      <c r="X494" s="2"/>
    </row>
    <row r="495" ht="15.75" customHeight="1">
      <c r="R495" s="2"/>
      <c r="S495" s="2"/>
      <c r="T495" s="2"/>
      <c r="U495" s="2"/>
      <c r="V495" s="2"/>
      <c r="W495" s="2"/>
      <c r="X495" s="2"/>
    </row>
    <row r="496" ht="15.75" customHeight="1">
      <c r="R496" s="2"/>
      <c r="S496" s="2"/>
      <c r="T496" s="2"/>
      <c r="U496" s="2"/>
      <c r="V496" s="2"/>
      <c r="W496" s="2"/>
      <c r="X496" s="2"/>
    </row>
    <row r="497" ht="15.75" customHeight="1">
      <c r="R497" s="2"/>
      <c r="S497" s="2"/>
      <c r="T497" s="2"/>
      <c r="U497" s="2"/>
      <c r="V497" s="2"/>
      <c r="W497" s="2"/>
      <c r="X497" s="2"/>
    </row>
    <row r="498" ht="15.75" customHeight="1">
      <c r="R498" s="2"/>
      <c r="S498" s="2"/>
      <c r="T498" s="2"/>
      <c r="U498" s="2"/>
      <c r="V498" s="2"/>
      <c r="W498" s="2"/>
      <c r="X498" s="2"/>
    </row>
    <row r="499" ht="15.75" customHeight="1">
      <c r="R499" s="2"/>
      <c r="S499" s="2"/>
      <c r="T499" s="2"/>
      <c r="U499" s="2"/>
      <c r="V499" s="2"/>
      <c r="W499" s="2"/>
      <c r="X499" s="2"/>
    </row>
    <row r="500" ht="15.75" customHeight="1">
      <c r="R500" s="2"/>
      <c r="S500" s="2"/>
      <c r="T500" s="2"/>
      <c r="U500" s="2"/>
      <c r="V500" s="2"/>
      <c r="W500" s="2"/>
      <c r="X500" s="2"/>
    </row>
    <row r="501" ht="15.75" customHeight="1">
      <c r="R501" s="2"/>
      <c r="S501" s="2"/>
      <c r="T501" s="2"/>
      <c r="U501" s="2"/>
      <c r="V501" s="2"/>
      <c r="W501" s="2"/>
      <c r="X501" s="2"/>
    </row>
    <row r="502" ht="15.75" customHeight="1">
      <c r="R502" s="2"/>
      <c r="S502" s="2"/>
      <c r="T502" s="2"/>
      <c r="U502" s="2"/>
      <c r="V502" s="2"/>
      <c r="W502" s="2"/>
      <c r="X502" s="2"/>
    </row>
    <row r="503" ht="15.75" customHeight="1">
      <c r="R503" s="2"/>
      <c r="S503" s="2"/>
      <c r="T503" s="2"/>
      <c r="U503" s="2"/>
      <c r="V503" s="2"/>
      <c r="W503" s="2"/>
      <c r="X503" s="2"/>
    </row>
    <row r="504" ht="15.75" customHeight="1">
      <c r="R504" s="2"/>
      <c r="S504" s="2"/>
      <c r="T504" s="2"/>
      <c r="U504" s="2"/>
      <c r="V504" s="2"/>
      <c r="W504" s="2"/>
      <c r="X504" s="2"/>
    </row>
    <row r="505" ht="15.75" customHeight="1">
      <c r="R505" s="2"/>
      <c r="S505" s="2"/>
      <c r="T505" s="2"/>
      <c r="U505" s="2"/>
      <c r="V505" s="2"/>
      <c r="W505" s="2"/>
      <c r="X505" s="2"/>
    </row>
    <row r="506" ht="15.75" customHeight="1">
      <c r="R506" s="2"/>
      <c r="S506" s="2"/>
      <c r="T506" s="2"/>
      <c r="U506" s="2"/>
      <c r="V506" s="2"/>
      <c r="W506" s="2"/>
      <c r="X506" s="2"/>
    </row>
    <row r="507" ht="15.75" customHeight="1">
      <c r="R507" s="2"/>
      <c r="S507" s="2"/>
      <c r="T507" s="2"/>
      <c r="U507" s="2"/>
      <c r="V507" s="2"/>
      <c r="W507" s="2"/>
      <c r="X507" s="2"/>
    </row>
    <row r="508" ht="15.75" customHeight="1">
      <c r="R508" s="2"/>
      <c r="S508" s="2"/>
      <c r="T508" s="2"/>
      <c r="U508" s="2"/>
      <c r="V508" s="2"/>
      <c r="W508" s="2"/>
      <c r="X508" s="2"/>
    </row>
    <row r="509" ht="15.75" customHeight="1">
      <c r="R509" s="2"/>
      <c r="S509" s="2"/>
      <c r="T509" s="2"/>
      <c r="U509" s="2"/>
      <c r="V509" s="2"/>
      <c r="W509" s="2"/>
      <c r="X509" s="2"/>
    </row>
    <row r="510" ht="15.75" customHeight="1">
      <c r="R510" s="2"/>
      <c r="S510" s="2"/>
      <c r="T510" s="2"/>
      <c r="U510" s="2"/>
      <c r="V510" s="2"/>
      <c r="W510" s="2"/>
      <c r="X510" s="2"/>
    </row>
    <row r="511" ht="15.75" customHeight="1">
      <c r="R511" s="2"/>
      <c r="S511" s="2"/>
      <c r="T511" s="2"/>
      <c r="U511" s="2"/>
      <c r="V511" s="2"/>
      <c r="W511" s="2"/>
      <c r="X511" s="2"/>
    </row>
    <row r="512" ht="15.75" customHeight="1">
      <c r="R512" s="2"/>
      <c r="S512" s="2"/>
      <c r="T512" s="2"/>
      <c r="U512" s="2"/>
      <c r="V512" s="2"/>
      <c r="W512" s="2"/>
      <c r="X512" s="2"/>
    </row>
    <row r="513" ht="15.75" customHeight="1">
      <c r="R513" s="2"/>
      <c r="S513" s="2"/>
      <c r="T513" s="2"/>
      <c r="U513" s="2"/>
      <c r="V513" s="2"/>
      <c r="W513" s="2"/>
      <c r="X513" s="2"/>
    </row>
    <row r="514" ht="15.75" customHeight="1">
      <c r="R514" s="2"/>
      <c r="S514" s="2"/>
      <c r="T514" s="2"/>
      <c r="U514" s="2"/>
      <c r="V514" s="2"/>
      <c r="W514" s="2"/>
      <c r="X514" s="2"/>
    </row>
    <row r="515" ht="15.75" customHeight="1">
      <c r="R515" s="2"/>
      <c r="S515" s="2"/>
      <c r="T515" s="2"/>
      <c r="U515" s="2"/>
      <c r="V515" s="2"/>
      <c r="W515" s="2"/>
      <c r="X515" s="2"/>
    </row>
    <row r="516" ht="15.75" customHeight="1">
      <c r="R516" s="2"/>
      <c r="S516" s="2"/>
      <c r="T516" s="2"/>
      <c r="U516" s="2"/>
      <c r="V516" s="2"/>
      <c r="W516" s="2"/>
      <c r="X516" s="2"/>
    </row>
    <row r="517" ht="15.75" customHeight="1">
      <c r="R517" s="2"/>
      <c r="S517" s="2"/>
      <c r="T517" s="2"/>
      <c r="U517" s="2"/>
      <c r="V517" s="2"/>
      <c r="W517" s="2"/>
      <c r="X517" s="2"/>
    </row>
    <row r="518" ht="15.75" customHeight="1">
      <c r="R518" s="2"/>
      <c r="S518" s="2"/>
      <c r="T518" s="2"/>
      <c r="U518" s="2"/>
      <c r="V518" s="2"/>
      <c r="W518" s="2"/>
      <c r="X518" s="2"/>
    </row>
    <row r="519" ht="15.75" customHeight="1">
      <c r="R519" s="2"/>
      <c r="S519" s="2"/>
      <c r="T519" s="2"/>
      <c r="U519" s="2"/>
      <c r="V519" s="2"/>
      <c r="W519" s="2"/>
      <c r="X519" s="2"/>
    </row>
    <row r="520" ht="15.75" customHeight="1">
      <c r="R520" s="2"/>
      <c r="S520" s="2"/>
      <c r="T520" s="2"/>
      <c r="U520" s="2"/>
      <c r="V520" s="2"/>
      <c r="W520" s="2"/>
      <c r="X520" s="2"/>
    </row>
    <row r="521" ht="15.75" customHeight="1">
      <c r="R521" s="2"/>
      <c r="S521" s="2"/>
      <c r="T521" s="2"/>
      <c r="U521" s="2"/>
      <c r="V521" s="2"/>
      <c r="W521" s="2"/>
      <c r="X521" s="2"/>
    </row>
    <row r="522" ht="15.75" customHeight="1">
      <c r="R522" s="2"/>
      <c r="S522" s="2"/>
      <c r="T522" s="2"/>
      <c r="U522" s="2"/>
      <c r="V522" s="2"/>
      <c r="W522" s="2"/>
      <c r="X522" s="2"/>
    </row>
    <row r="523" ht="15.75" customHeight="1">
      <c r="R523" s="2"/>
      <c r="S523" s="2"/>
      <c r="T523" s="2"/>
      <c r="U523" s="2"/>
      <c r="V523" s="2"/>
      <c r="W523" s="2"/>
      <c r="X523" s="2"/>
    </row>
    <row r="524" ht="15.75" customHeight="1">
      <c r="R524" s="2"/>
      <c r="S524" s="2"/>
      <c r="T524" s="2"/>
      <c r="U524" s="2"/>
      <c r="V524" s="2"/>
      <c r="W524" s="2"/>
      <c r="X524" s="2"/>
    </row>
    <row r="525" ht="15.75" customHeight="1">
      <c r="R525" s="2"/>
      <c r="S525" s="2"/>
      <c r="T525" s="2"/>
      <c r="U525" s="2"/>
      <c r="V525" s="2"/>
      <c r="W525" s="2"/>
      <c r="X525" s="2"/>
    </row>
    <row r="526" ht="15.75" customHeight="1">
      <c r="R526" s="2"/>
      <c r="S526" s="2"/>
      <c r="T526" s="2"/>
      <c r="U526" s="2"/>
      <c r="V526" s="2"/>
      <c r="W526" s="2"/>
      <c r="X526" s="2"/>
    </row>
    <row r="527" ht="15.75" customHeight="1">
      <c r="R527" s="2"/>
      <c r="S527" s="2"/>
      <c r="T527" s="2"/>
      <c r="U527" s="2"/>
      <c r="V527" s="2"/>
      <c r="W527" s="2"/>
      <c r="X527" s="2"/>
    </row>
    <row r="528" ht="15.75" customHeight="1">
      <c r="R528" s="2"/>
      <c r="S528" s="2"/>
      <c r="T528" s="2"/>
      <c r="U528" s="2"/>
      <c r="V528" s="2"/>
      <c r="W528" s="2"/>
      <c r="X528" s="2"/>
    </row>
    <row r="529" ht="15.75" customHeight="1">
      <c r="R529" s="2"/>
      <c r="S529" s="2"/>
      <c r="T529" s="2"/>
      <c r="U529" s="2"/>
      <c r="V529" s="2"/>
      <c r="W529" s="2"/>
      <c r="X529" s="2"/>
    </row>
    <row r="530" ht="15.75" customHeight="1">
      <c r="R530" s="2"/>
      <c r="S530" s="2"/>
      <c r="T530" s="2"/>
      <c r="U530" s="2"/>
      <c r="V530" s="2"/>
      <c r="W530" s="2"/>
      <c r="X530" s="2"/>
    </row>
    <row r="531" ht="15.75" customHeight="1">
      <c r="R531" s="2"/>
      <c r="S531" s="2"/>
      <c r="T531" s="2"/>
      <c r="U531" s="2"/>
      <c r="V531" s="2"/>
      <c r="W531" s="2"/>
      <c r="X531" s="2"/>
    </row>
    <row r="532" ht="15.75" customHeight="1">
      <c r="R532" s="2"/>
      <c r="S532" s="2"/>
      <c r="T532" s="2"/>
      <c r="U532" s="2"/>
      <c r="V532" s="2"/>
      <c r="W532" s="2"/>
      <c r="X532" s="2"/>
    </row>
    <row r="533" ht="15.75" customHeight="1">
      <c r="R533" s="2"/>
      <c r="S533" s="2"/>
      <c r="T533" s="2"/>
      <c r="U533" s="2"/>
      <c r="V533" s="2"/>
      <c r="W533" s="2"/>
      <c r="X533" s="2"/>
    </row>
    <row r="534" ht="15.75" customHeight="1">
      <c r="R534" s="2"/>
      <c r="S534" s="2"/>
      <c r="T534" s="2"/>
      <c r="U534" s="2"/>
      <c r="V534" s="2"/>
      <c r="W534" s="2"/>
      <c r="X534" s="2"/>
    </row>
    <row r="535" ht="15.75" customHeight="1">
      <c r="R535" s="2"/>
      <c r="S535" s="2"/>
      <c r="T535" s="2"/>
      <c r="U535" s="2"/>
      <c r="V535" s="2"/>
      <c r="W535" s="2"/>
      <c r="X535" s="2"/>
    </row>
    <row r="536" ht="15.75" customHeight="1">
      <c r="R536" s="2"/>
      <c r="S536" s="2"/>
      <c r="T536" s="2"/>
      <c r="U536" s="2"/>
      <c r="V536" s="2"/>
      <c r="W536" s="2"/>
      <c r="X536" s="2"/>
    </row>
    <row r="537" ht="15.75" customHeight="1">
      <c r="R537" s="2"/>
      <c r="S537" s="2"/>
      <c r="T537" s="2"/>
      <c r="U537" s="2"/>
      <c r="V537" s="2"/>
      <c r="W537" s="2"/>
      <c r="X537" s="2"/>
    </row>
    <row r="538" ht="15.75" customHeight="1">
      <c r="R538" s="2"/>
      <c r="S538" s="2"/>
      <c r="T538" s="2"/>
      <c r="U538" s="2"/>
      <c r="V538" s="2"/>
      <c r="W538" s="2"/>
      <c r="X538" s="2"/>
    </row>
    <row r="539" ht="15.75" customHeight="1">
      <c r="R539" s="2"/>
      <c r="S539" s="2"/>
      <c r="T539" s="2"/>
      <c r="U539" s="2"/>
      <c r="V539" s="2"/>
      <c r="W539" s="2"/>
      <c r="X539" s="2"/>
    </row>
    <row r="540" ht="15.75" customHeight="1">
      <c r="R540" s="2"/>
      <c r="S540" s="2"/>
      <c r="T540" s="2"/>
      <c r="U540" s="2"/>
      <c r="V540" s="2"/>
      <c r="W540" s="2"/>
      <c r="X540" s="2"/>
    </row>
    <row r="541" ht="15.75" customHeight="1">
      <c r="R541" s="2"/>
      <c r="S541" s="2"/>
      <c r="T541" s="2"/>
      <c r="U541" s="2"/>
      <c r="V541" s="2"/>
      <c r="W541" s="2"/>
      <c r="X541" s="2"/>
    </row>
    <row r="542" ht="15.75" customHeight="1">
      <c r="R542" s="2"/>
      <c r="S542" s="2"/>
      <c r="T542" s="2"/>
      <c r="U542" s="2"/>
      <c r="V542" s="2"/>
      <c r="W542" s="2"/>
      <c r="X542" s="2"/>
    </row>
    <row r="543" ht="15.75" customHeight="1">
      <c r="R543" s="2"/>
      <c r="S543" s="2"/>
      <c r="T543" s="2"/>
      <c r="U543" s="2"/>
      <c r="V543" s="2"/>
      <c r="W543" s="2"/>
      <c r="X543" s="2"/>
    </row>
    <row r="544" ht="15.75" customHeight="1">
      <c r="R544" s="2"/>
      <c r="S544" s="2"/>
      <c r="T544" s="2"/>
      <c r="U544" s="2"/>
      <c r="V544" s="2"/>
      <c r="W544" s="2"/>
      <c r="X544" s="2"/>
    </row>
    <row r="545" ht="15.75" customHeight="1">
      <c r="R545" s="2"/>
      <c r="S545" s="2"/>
      <c r="T545" s="2"/>
      <c r="U545" s="2"/>
      <c r="V545" s="2"/>
      <c r="W545" s="2"/>
      <c r="X545" s="2"/>
    </row>
    <row r="546" ht="15.75" customHeight="1">
      <c r="R546" s="2"/>
      <c r="S546" s="2"/>
      <c r="T546" s="2"/>
      <c r="U546" s="2"/>
      <c r="V546" s="2"/>
      <c r="W546" s="2"/>
      <c r="X546" s="2"/>
    </row>
    <row r="547" ht="15.75" customHeight="1">
      <c r="R547" s="2"/>
      <c r="S547" s="2"/>
      <c r="T547" s="2"/>
      <c r="U547" s="2"/>
      <c r="V547" s="2"/>
      <c r="W547" s="2"/>
      <c r="X547" s="2"/>
    </row>
    <row r="548" ht="15.75" customHeight="1">
      <c r="R548" s="2"/>
      <c r="S548" s="2"/>
      <c r="T548" s="2"/>
      <c r="U548" s="2"/>
      <c r="V548" s="2"/>
      <c r="W548" s="2"/>
      <c r="X548" s="2"/>
    </row>
    <row r="549" ht="15.75" customHeight="1">
      <c r="R549" s="2"/>
      <c r="S549" s="2"/>
      <c r="T549" s="2"/>
      <c r="U549" s="2"/>
      <c r="V549" s="2"/>
      <c r="W549" s="2"/>
      <c r="X549" s="2"/>
    </row>
    <row r="550" ht="15.75" customHeight="1">
      <c r="R550" s="2"/>
      <c r="S550" s="2"/>
      <c r="T550" s="2"/>
      <c r="U550" s="2"/>
      <c r="V550" s="2"/>
      <c r="W550" s="2"/>
      <c r="X550" s="2"/>
    </row>
    <row r="551" ht="15.75" customHeight="1">
      <c r="R551" s="2"/>
      <c r="S551" s="2"/>
      <c r="T551" s="2"/>
      <c r="U551" s="2"/>
      <c r="V551" s="2"/>
      <c r="W551" s="2"/>
      <c r="X551" s="2"/>
    </row>
    <row r="552" ht="15.75" customHeight="1">
      <c r="R552" s="2"/>
      <c r="S552" s="2"/>
      <c r="T552" s="2"/>
      <c r="U552" s="2"/>
      <c r="V552" s="2"/>
      <c r="W552" s="2"/>
      <c r="X552" s="2"/>
    </row>
    <row r="553" ht="15.75" customHeight="1">
      <c r="R553" s="2"/>
      <c r="S553" s="2"/>
      <c r="T553" s="2"/>
      <c r="U553" s="2"/>
      <c r="V553" s="2"/>
      <c r="W553" s="2"/>
      <c r="X553" s="2"/>
    </row>
    <row r="554" ht="15.75" customHeight="1">
      <c r="R554" s="2"/>
      <c r="S554" s="2"/>
      <c r="T554" s="2"/>
      <c r="U554" s="2"/>
      <c r="V554" s="2"/>
      <c r="W554" s="2"/>
      <c r="X554" s="2"/>
    </row>
    <row r="555" ht="15.75" customHeight="1">
      <c r="R555" s="2"/>
      <c r="S555" s="2"/>
      <c r="T555" s="2"/>
      <c r="U555" s="2"/>
      <c r="V555" s="2"/>
      <c r="W555" s="2"/>
      <c r="X555" s="2"/>
    </row>
    <row r="556" ht="15.75" customHeight="1">
      <c r="R556" s="2"/>
      <c r="S556" s="2"/>
      <c r="T556" s="2"/>
      <c r="U556" s="2"/>
      <c r="V556" s="2"/>
      <c r="W556" s="2"/>
      <c r="X556" s="2"/>
    </row>
    <row r="557" ht="15.75" customHeight="1">
      <c r="R557" s="2"/>
      <c r="S557" s="2"/>
      <c r="T557" s="2"/>
      <c r="U557" s="2"/>
      <c r="V557" s="2"/>
      <c r="W557" s="2"/>
      <c r="X557" s="2"/>
    </row>
    <row r="558" ht="15.75" customHeight="1">
      <c r="R558" s="2"/>
      <c r="S558" s="2"/>
      <c r="T558" s="2"/>
      <c r="U558" s="2"/>
      <c r="V558" s="2"/>
      <c r="W558" s="2"/>
      <c r="X558" s="2"/>
    </row>
    <row r="559" ht="15.75" customHeight="1">
      <c r="R559" s="2"/>
      <c r="S559" s="2"/>
      <c r="T559" s="2"/>
      <c r="U559" s="2"/>
      <c r="V559" s="2"/>
      <c r="W559" s="2"/>
      <c r="X559" s="2"/>
    </row>
    <row r="560" ht="15.75" customHeight="1">
      <c r="R560" s="2"/>
      <c r="S560" s="2"/>
      <c r="T560" s="2"/>
      <c r="U560" s="2"/>
      <c r="V560" s="2"/>
      <c r="W560" s="2"/>
      <c r="X560" s="2"/>
    </row>
    <row r="561" ht="15.75" customHeight="1">
      <c r="R561" s="2"/>
      <c r="S561" s="2"/>
      <c r="T561" s="2"/>
      <c r="U561" s="2"/>
      <c r="V561" s="2"/>
      <c r="W561" s="2"/>
      <c r="X561" s="2"/>
    </row>
    <row r="562" ht="15.75" customHeight="1">
      <c r="R562" s="2"/>
      <c r="S562" s="2"/>
      <c r="T562" s="2"/>
      <c r="U562" s="2"/>
      <c r="V562" s="2"/>
      <c r="W562" s="2"/>
      <c r="X562" s="2"/>
    </row>
    <row r="563" ht="15.75" customHeight="1">
      <c r="R563" s="2"/>
      <c r="S563" s="2"/>
      <c r="T563" s="2"/>
      <c r="U563" s="2"/>
      <c r="V563" s="2"/>
      <c r="W563" s="2"/>
      <c r="X563" s="2"/>
    </row>
    <row r="564" ht="15.75" customHeight="1">
      <c r="R564" s="2"/>
      <c r="S564" s="2"/>
      <c r="T564" s="2"/>
      <c r="U564" s="2"/>
      <c r="V564" s="2"/>
      <c r="W564" s="2"/>
      <c r="X564" s="2"/>
    </row>
    <row r="565" ht="15.75" customHeight="1">
      <c r="R565" s="2"/>
      <c r="S565" s="2"/>
      <c r="T565" s="2"/>
      <c r="U565" s="2"/>
      <c r="V565" s="2"/>
      <c r="W565" s="2"/>
      <c r="X565" s="2"/>
    </row>
    <row r="566" ht="15.75" customHeight="1">
      <c r="R566" s="2"/>
      <c r="S566" s="2"/>
      <c r="T566" s="2"/>
      <c r="U566" s="2"/>
      <c r="V566" s="2"/>
      <c r="W566" s="2"/>
      <c r="X566" s="2"/>
    </row>
    <row r="567" ht="15.75" customHeight="1">
      <c r="R567" s="2"/>
      <c r="S567" s="2"/>
      <c r="T567" s="2"/>
      <c r="U567" s="2"/>
      <c r="V567" s="2"/>
      <c r="W567" s="2"/>
      <c r="X567" s="2"/>
    </row>
    <row r="568" ht="15.75" customHeight="1">
      <c r="R568" s="2"/>
      <c r="S568" s="2"/>
      <c r="T568" s="2"/>
      <c r="U568" s="2"/>
      <c r="V568" s="2"/>
      <c r="W568" s="2"/>
      <c r="X568" s="2"/>
    </row>
    <row r="569" ht="15.75" customHeight="1">
      <c r="R569" s="2"/>
      <c r="S569" s="2"/>
      <c r="T569" s="2"/>
      <c r="U569" s="2"/>
      <c r="V569" s="2"/>
      <c r="W569" s="2"/>
      <c r="X569" s="2"/>
    </row>
    <row r="570" ht="15.75" customHeight="1">
      <c r="R570" s="2"/>
      <c r="S570" s="2"/>
      <c r="T570" s="2"/>
      <c r="U570" s="2"/>
      <c r="V570" s="2"/>
      <c r="W570" s="2"/>
      <c r="X570" s="2"/>
    </row>
    <row r="571" ht="15.75" customHeight="1">
      <c r="R571" s="2"/>
      <c r="S571" s="2"/>
      <c r="T571" s="2"/>
      <c r="U571" s="2"/>
      <c r="V571" s="2"/>
      <c r="W571" s="2"/>
      <c r="X571" s="2"/>
    </row>
    <row r="572" ht="15.75" customHeight="1">
      <c r="R572" s="2"/>
      <c r="S572" s="2"/>
      <c r="T572" s="2"/>
      <c r="U572" s="2"/>
      <c r="V572" s="2"/>
      <c r="W572" s="2"/>
      <c r="X572" s="2"/>
    </row>
    <row r="573" ht="15.75" customHeight="1">
      <c r="R573" s="2"/>
      <c r="S573" s="2"/>
      <c r="T573" s="2"/>
      <c r="U573" s="2"/>
      <c r="V573" s="2"/>
      <c r="W573" s="2"/>
      <c r="X573" s="2"/>
    </row>
    <row r="574" ht="15.75" customHeight="1">
      <c r="R574" s="2"/>
      <c r="S574" s="2"/>
      <c r="T574" s="2"/>
      <c r="U574" s="2"/>
      <c r="V574" s="2"/>
      <c r="W574" s="2"/>
      <c r="X574" s="2"/>
    </row>
    <row r="575" ht="15.75" customHeight="1">
      <c r="R575" s="2"/>
      <c r="S575" s="2"/>
      <c r="T575" s="2"/>
      <c r="U575" s="2"/>
      <c r="V575" s="2"/>
      <c r="W575" s="2"/>
      <c r="X575" s="2"/>
    </row>
    <row r="576" ht="15.75" customHeight="1">
      <c r="R576" s="2"/>
      <c r="S576" s="2"/>
      <c r="T576" s="2"/>
      <c r="U576" s="2"/>
      <c r="V576" s="2"/>
      <c r="W576" s="2"/>
      <c r="X576" s="2"/>
    </row>
    <row r="577" ht="15.75" customHeight="1">
      <c r="R577" s="2"/>
      <c r="S577" s="2"/>
      <c r="T577" s="2"/>
      <c r="U577" s="2"/>
      <c r="V577" s="2"/>
      <c r="W577" s="2"/>
      <c r="X577" s="2"/>
    </row>
    <row r="578" ht="15.75" customHeight="1">
      <c r="R578" s="2"/>
      <c r="S578" s="2"/>
      <c r="T578" s="2"/>
      <c r="U578" s="2"/>
      <c r="V578" s="2"/>
      <c r="W578" s="2"/>
      <c r="X578" s="2"/>
    </row>
    <row r="579" ht="15.75" customHeight="1">
      <c r="R579" s="2"/>
      <c r="S579" s="2"/>
      <c r="T579" s="2"/>
      <c r="U579" s="2"/>
      <c r="V579" s="2"/>
      <c r="W579" s="2"/>
      <c r="X579" s="2"/>
    </row>
    <row r="580" ht="15.75" customHeight="1">
      <c r="R580" s="2"/>
      <c r="S580" s="2"/>
      <c r="T580" s="2"/>
      <c r="U580" s="2"/>
      <c r="V580" s="2"/>
      <c r="W580" s="2"/>
      <c r="X580" s="2"/>
    </row>
    <row r="581" ht="15.75" customHeight="1">
      <c r="R581" s="2"/>
      <c r="S581" s="2"/>
      <c r="T581" s="2"/>
      <c r="U581" s="2"/>
      <c r="V581" s="2"/>
      <c r="W581" s="2"/>
      <c r="X581" s="2"/>
    </row>
    <row r="582" ht="15.75" customHeight="1">
      <c r="R582" s="2"/>
      <c r="S582" s="2"/>
      <c r="T582" s="2"/>
      <c r="U582" s="2"/>
      <c r="V582" s="2"/>
      <c r="W582" s="2"/>
      <c r="X582" s="2"/>
    </row>
    <row r="583" ht="15.75" customHeight="1">
      <c r="R583" s="2"/>
      <c r="S583" s="2"/>
      <c r="T583" s="2"/>
      <c r="U583" s="2"/>
      <c r="V583" s="2"/>
      <c r="W583" s="2"/>
      <c r="X583" s="2"/>
    </row>
    <row r="584" ht="15.75" customHeight="1">
      <c r="R584" s="2"/>
      <c r="S584" s="2"/>
      <c r="T584" s="2"/>
      <c r="U584" s="2"/>
      <c r="V584" s="2"/>
      <c r="W584" s="2"/>
      <c r="X584" s="2"/>
    </row>
    <row r="585" ht="15.75" customHeight="1">
      <c r="R585" s="2"/>
      <c r="S585" s="2"/>
      <c r="T585" s="2"/>
      <c r="U585" s="2"/>
      <c r="V585" s="2"/>
      <c r="W585" s="2"/>
      <c r="X585" s="2"/>
    </row>
    <row r="586" ht="15.75" customHeight="1">
      <c r="R586" s="2"/>
      <c r="S586" s="2"/>
      <c r="T586" s="2"/>
      <c r="U586" s="2"/>
      <c r="V586" s="2"/>
      <c r="W586" s="2"/>
      <c r="X586" s="2"/>
    </row>
    <row r="587" ht="15.75" customHeight="1">
      <c r="R587" s="2"/>
      <c r="S587" s="2"/>
      <c r="T587" s="2"/>
      <c r="U587" s="2"/>
      <c r="V587" s="2"/>
      <c r="W587" s="2"/>
      <c r="X587" s="2"/>
    </row>
    <row r="588" ht="15.75" customHeight="1">
      <c r="R588" s="2"/>
      <c r="S588" s="2"/>
      <c r="T588" s="2"/>
      <c r="U588" s="2"/>
      <c r="V588" s="2"/>
      <c r="W588" s="2"/>
      <c r="X588" s="2"/>
    </row>
    <row r="589" ht="15.75" customHeight="1">
      <c r="R589" s="2"/>
      <c r="S589" s="2"/>
      <c r="T589" s="2"/>
      <c r="U589" s="2"/>
      <c r="V589" s="2"/>
      <c r="W589" s="2"/>
      <c r="X589" s="2"/>
    </row>
    <row r="590" ht="15.75" customHeight="1">
      <c r="R590" s="2"/>
      <c r="S590" s="2"/>
      <c r="T590" s="2"/>
      <c r="U590" s="2"/>
      <c r="V590" s="2"/>
      <c r="W590" s="2"/>
      <c r="X590" s="2"/>
    </row>
    <row r="591" ht="15.75" customHeight="1">
      <c r="R591" s="2"/>
      <c r="S591" s="2"/>
      <c r="T591" s="2"/>
      <c r="U591" s="2"/>
      <c r="V591" s="2"/>
      <c r="W591" s="2"/>
      <c r="X591" s="2"/>
    </row>
    <row r="592" ht="15.75" customHeight="1">
      <c r="R592" s="2"/>
      <c r="S592" s="2"/>
      <c r="T592" s="2"/>
      <c r="U592" s="2"/>
      <c r="V592" s="2"/>
      <c r="W592" s="2"/>
      <c r="X592" s="2"/>
    </row>
    <row r="593" ht="15.75" customHeight="1">
      <c r="R593" s="2"/>
      <c r="S593" s="2"/>
      <c r="T593" s="2"/>
      <c r="U593" s="2"/>
      <c r="V593" s="2"/>
      <c r="W593" s="2"/>
      <c r="X593" s="2"/>
    </row>
    <row r="594" ht="15.75" customHeight="1">
      <c r="R594" s="2"/>
      <c r="S594" s="2"/>
      <c r="T594" s="2"/>
      <c r="U594" s="2"/>
      <c r="V594" s="2"/>
      <c r="W594" s="2"/>
      <c r="X594" s="2"/>
    </row>
    <row r="595" ht="15.75" customHeight="1">
      <c r="R595" s="2"/>
      <c r="S595" s="2"/>
      <c r="T595" s="2"/>
      <c r="U595" s="2"/>
      <c r="V595" s="2"/>
      <c r="W595" s="2"/>
      <c r="X595" s="2"/>
    </row>
    <row r="596" ht="15.75" customHeight="1">
      <c r="R596" s="2"/>
      <c r="S596" s="2"/>
      <c r="T596" s="2"/>
      <c r="U596" s="2"/>
      <c r="V596" s="2"/>
      <c r="W596" s="2"/>
      <c r="X596" s="2"/>
    </row>
    <row r="597" ht="15.75" customHeight="1">
      <c r="R597" s="2"/>
      <c r="S597" s="2"/>
      <c r="T597" s="2"/>
      <c r="U597" s="2"/>
      <c r="V597" s="2"/>
      <c r="W597" s="2"/>
      <c r="X597" s="2"/>
    </row>
    <row r="598" ht="15.75" customHeight="1">
      <c r="R598" s="2"/>
      <c r="S598" s="2"/>
      <c r="T598" s="2"/>
      <c r="U598" s="2"/>
      <c r="V598" s="2"/>
      <c r="W598" s="2"/>
      <c r="X598" s="2"/>
    </row>
    <row r="599" ht="15.75" customHeight="1">
      <c r="R599" s="2"/>
      <c r="S599" s="2"/>
      <c r="T599" s="2"/>
      <c r="U599" s="2"/>
      <c r="V599" s="2"/>
      <c r="W599" s="2"/>
      <c r="X599" s="2"/>
    </row>
    <row r="600" ht="15.75" customHeight="1">
      <c r="R600" s="2"/>
      <c r="S600" s="2"/>
      <c r="T600" s="2"/>
      <c r="U600" s="2"/>
      <c r="V600" s="2"/>
      <c r="W600" s="2"/>
      <c r="X600" s="2"/>
    </row>
    <row r="601" ht="15.75" customHeight="1">
      <c r="R601" s="2"/>
      <c r="S601" s="2"/>
      <c r="T601" s="2"/>
      <c r="U601" s="2"/>
      <c r="V601" s="2"/>
      <c r="W601" s="2"/>
      <c r="X601" s="2"/>
    </row>
    <row r="602" ht="15.75" customHeight="1">
      <c r="R602" s="2"/>
      <c r="S602" s="2"/>
      <c r="T602" s="2"/>
      <c r="U602" s="2"/>
      <c r="V602" s="2"/>
      <c r="W602" s="2"/>
      <c r="X602" s="2"/>
    </row>
    <row r="603" ht="15.75" customHeight="1">
      <c r="R603" s="2"/>
      <c r="S603" s="2"/>
      <c r="T603" s="2"/>
      <c r="U603" s="2"/>
      <c r="V603" s="2"/>
      <c r="W603" s="2"/>
      <c r="X603" s="2"/>
    </row>
    <row r="604" ht="15.75" customHeight="1">
      <c r="R604" s="2"/>
      <c r="S604" s="2"/>
      <c r="T604" s="2"/>
      <c r="U604" s="2"/>
      <c r="V604" s="2"/>
      <c r="W604" s="2"/>
      <c r="X604" s="2"/>
    </row>
    <row r="605" ht="15.75" customHeight="1">
      <c r="R605" s="2"/>
      <c r="S605" s="2"/>
      <c r="T605" s="2"/>
      <c r="U605" s="2"/>
      <c r="V605" s="2"/>
      <c r="W605" s="2"/>
      <c r="X605" s="2"/>
    </row>
    <row r="606" ht="15.75" customHeight="1">
      <c r="R606" s="2"/>
      <c r="S606" s="2"/>
      <c r="T606" s="2"/>
      <c r="U606" s="2"/>
      <c r="V606" s="2"/>
      <c r="W606" s="2"/>
      <c r="X606" s="2"/>
    </row>
    <row r="607" ht="15.75" customHeight="1">
      <c r="R607" s="2"/>
      <c r="S607" s="2"/>
      <c r="T607" s="2"/>
      <c r="U607" s="2"/>
      <c r="V607" s="2"/>
      <c r="W607" s="2"/>
      <c r="X607" s="2"/>
    </row>
    <row r="608" ht="15.75" customHeight="1">
      <c r="R608" s="2"/>
      <c r="S608" s="2"/>
      <c r="T608" s="2"/>
      <c r="U608" s="2"/>
      <c r="V608" s="2"/>
      <c r="W608" s="2"/>
      <c r="X608" s="2"/>
    </row>
    <row r="609" ht="15.75" customHeight="1">
      <c r="R609" s="2"/>
      <c r="S609" s="2"/>
      <c r="T609" s="2"/>
      <c r="U609" s="2"/>
      <c r="V609" s="2"/>
      <c r="W609" s="2"/>
      <c r="X609" s="2"/>
    </row>
    <row r="610" ht="15.75" customHeight="1">
      <c r="R610" s="2"/>
      <c r="S610" s="2"/>
      <c r="T610" s="2"/>
      <c r="U610" s="2"/>
      <c r="V610" s="2"/>
      <c r="W610" s="2"/>
      <c r="X610" s="2"/>
    </row>
    <row r="611" ht="15.75" customHeight="1">
      <c r="R611" s="2"/>
      <c r="S611" s="2"/>
      <c r="T611" s="2"/>
      <c r="U611" s="2"/>
      <c r="V611" s="2"/>
      <c r="W611" s="2"/>
      <c r="X611" s="2"/>
    </row>
    <row r="612" ht="15.75" customHeight="1">
      <c r="R612" s="2"/>
      <c r="S612" s="2"/>
      <c r="T612" s="2"/>
      <c r="U612" s="2"/>
      <c r="V612" s="2"/>
      <c r="W612" s="2"/>
      <c r="X612" s="2"/>
    </row>
    <row r="613" ht="15.75" customHeight="1">
      <c r="R613" s="2"/>
      <c r="S613" s="2"/>
      <c r="T613" s="2"/>
      <c r="U613" s="2"/>
      <c r="V613" s="2"/>
      <c r="W613" s="2"/>
      <c r="X613" s="2"/>
    </row>
    <row r="614" ht="15.75" customHeight="1">
      <c r="R614" s="2"/>
      <c r="S614" s="2"/>
      <c r="T614" s="2"/>
      <c r="U614" s="2"/>
      <c r="V614" s="2"/>
      <c r="W614" s="2"/>
      <c r="X614" s="2"/>
    </row>
    <row r="615" ht="15.75" customHeight="1">
      <c r="R615" s="2"/>
      <c r="S615" s="2"/>
      <c r="T615" s="2"/>
      <c r="U615" s="2"/>
      <c r="V615" s="2"/>
      <c r="W615" s="2"/>
      <c r="X615" s="2"/>
    </row>
    <row r="616" ht="15.75" customHeight="1">
      <c r="R616" s="2"/>
      <c r="S616" s="2"/>
      <c r="T616" s="2"/>
      <c r="U616" s="2"/>
      <c r="V616" s="2"/>
      <c r="W616" s="2"/>
      <c r="X616" s="2"/>
    </row>
    <row r="617" ht="15.75" customHeight="1">
      <c r="R617" s="2"/>
      <c r="S617" s="2"/>
      <c r="T617" s="2"/>
      <c r="U617" s="2"/>
      <c r="V617" s="2"/>
      <c r="W617" s="2"/>
      <c r="X617" s="2"/>
    </row>
    <row r="618" ht="15.75" customHeight="1">
      <c r="R618" s="2"/>
      <c r="S618" s="2"/>
      <c r="T618" s="2"/>
      <c r="U618" s="2"/>
      <c r="V618" s="2"/>
      <c r="W618" s="2"/>
      <c r="X618" s="2"/>
    </row>
    <row r="619" ht="15.75" customHeight="1">
      <c r="R619" s="2"/>
      <c r="S619" s="2"/>
      <c r="T619" s="2"/>
      <c r="U619" s="2"/>
      <c r="V619" s="2"/>
      <c r="W619" s="2"/>
      <c r="X619" s="2"/>
    </row>
    <row r="620" ht="15.75" customHeight="1">
      <c r="R620" s="2"/>
      <c r="S620" s="2"/>
      <c r="T620" s="2"/>
      <c r="U620" s="2"/>
      <c r="V620" s="2"/>
      <c r="W620" s="2"/>
      <c r="X620" s="2"/>
    </row>
    <row r="621" ht="15.75" customHeight="1">
      <c r="R621" s="2"/>
      <c r="S621" s="2"/>
      <c r="T621" s="2"/>
      <c r="U621" s="2"/>
      <c r="V621" s="2"/>
      <c r="W621" s="2"/>
      <c r="X621" s="2"/>
    </row>
    <row r="622" ht="15.75" customHeight="1">
      <c r="R622" s="2"/>
      <c r="S622" s="2"/>
      <c r="T622" s="2"/>
      <c r="U622" s="2"/>
      <c r="V622" s="2"/>
      <c r="W622" s="2"/>
      <c r="X622" s="2"/>
    </row>
    <row r="623" ht="15.75" customHeight="1">
      <c r="R623" s="2"/>
      <c r="S623" s="2"/>
      <c r="T623" s="2"/>
      <c r="U623" s="2"/>
      <c r="V623" s="2"/>
      <c r="W623" s="2"/>
      <c r="X623" s="2"/>
    </row>
    <row r="624" ht="15.75" customHeight="1">
      <c r="R624" s="2"/>
      <c r="S624" s="2"/>
      <c r="T624" s="2"/>
      <c r="U624" s="2"/>
      <c r="V624" s="2"/>
      <c r="W624" s="2"/>
      <c r="X624" s="2"/>
    </row>
    <row r="625" ht="15.75" customHeight="1">
      <c r="R625" s="2"/>
      <c r="S625" s="2"/>
      <c r="T625" s="2"/>
      <c r="U625" s="2"/>
      <c r="V625" s="2"/>
      <c r="W625" s="2"/>
      <c r="X625" s="2"/>
    </row>
    <row r="626" ht="15.75" customHeight="1">
      <c r="R626" s="2"/>
      <c r="S626" s="2"/>
      <c r="T626" s="2"/>
      <c r="U626" s="2"/>
      <c r="V626" s="2"/>
      <c r="W626" s="2"/>
      <c r="X626" s="2"/>
    </row>
    <row r="627" ht="15.75" customHeight="1">
      <c r="R627" s="2"/>
      <c r="S627" s="2"/>
      <c r="T627" s="2"/>
      <c r="U627" s="2"/>
      <c r="V627" s="2"/>
      <c r="W627" s="2"/>
      <c r="X627" s="2"/>
    </row>
    <row r="628" ht="15.75" customHeight="1">
      <c r="R628" s="2"/>
      <c r="S628" s="2"/>
      <c r="T628" s="2"/>
      <c r="U628" s="2"/>
      <c r="V628" s="2"/>
      <c r="W628" s="2"/>
      <c r="X628" s="2"/>
    </row>
    <row r="629" ht="15.75" customHeight="1">
      <c r="R629" s="2"/>
      <c r="S629" s="2"/>
      <c r="T629" s="2"/>
      <c r="U629" s="2"/>
      <c r="V629" s="2"/>
      <c r="W629" s="2"/>
      <c r="X629" s="2"/>
    </row>
    <row r="630" ht="15.75" customHeight="1">
      <c r="R630" s="2"/>
      <c r="S630" s="2"/>
      <c r="T630" s="2"/>
      <c r="U630" s="2"/>
      <c r="V630" s="2"/>
      <c r="W630" s="2"/>
      <c r="X630" s="2"/>
    </row>
    <row r="631" ht="15.75" customHeight="1">
      <c r="R631" s="2"/>
      <c r="S631" s="2"/>
      <c r="T631" s="2"/>
      <c r="U631" s="2"/>
      <c r="V631" s="2"/>
      <c r="W631" s="2"/>
      <c r="X631" s="2"/>
    </row>
    <row r="632" ht="15.75" customHeight="1">
      <c r="R632" s="2"/>
      <c r="S632" s="2"/>
      <c r="T632" s="2"/>
      <c r="U632" s="2"/>
      <c r="V632" s="2"/>
      <c r="W632" s="2"/>
      <c r="X632" s="2"/>
    </row>
    <row r="633" ht="15.75" customHeight="1">
      <c r="R633" s="2"/>
      <c r="S633" s="2"/>
      <c r="T633" s="2"/>
      <c r="U633" s="2"/>
      <c r="V633" s="2"/>
      <c r="W633" s="2"/>
      <c r="X633" s="2"/>
    </row>
    <row r="634" ht="15.75" customHeight="1">
      <c r="R634" s="2"/>
      <c r="S634" s="2"/>
      <c r="T634" s="2"/>
      <c r="U634" s="2"/>
      <c r="V634" s="2"/>
      <c r="W634" s="2"/>
      <c r="X634" s="2"/>
    </row>
    <row r="635" ht="15.75" customHeight="1">
      <c r="R635" s="2"/>
      <c r="S635" s="2"/>
      <c r="T635" s="2"/>
      <c r="U635" s="2"/>
      <c r="V635" s="2"/>
      <c r="W635" s="2"/>
      <c r="X635" s="2"/>
    </row>
    <row r="636" ht="15.75" customHeight="1">
      <c r="R636" s="2"/>
      <c r="S636" s="2"/>
      <c r="T636" s="2"/>
      <c r="U636" s="2"/>
      <c r="V636" s="2"/>
      <c r="W636" s="2"/>
      <c r="X636" s="2"/>
    </row>
    <row r="637" ht="15.75" customHeight="1">
      <c r="R637" s="2"/>
      <c r="S637" s="2"/>
      <c r="T637" s="2"/>
      <c r="U637" s="2"/>
      <c r="V637" s="2"/>
      <c r="W637" s="2"/>
      <c r="X637" s="2"/>
    </row>
    <row r="638" ht="15.75" customHeight="1">
      <c r="R638" s="2"/>
      <c r="S638" s="2"/>
      <c r="T638" s="2"/>
      <c r="U638" s="2"/>
      <c r="V638" s="2"/>
      <c r="W638" s="2"/>
      <c r="X638" s="2"/>
    </row>
    <row r="639" ht="15.75" customHeight="1">
      <c r="R639" s="2"/>
      <c r="S639" s="2"/>
      <c r="T639" s="2"/>
      <c r="U639" s="2"/>
      <c r="V639" s="2"/>
      <c r="W639" s="2"/>
      <c r="X639" s="2"/>
    </row>
    <row r="640" ht="15.75" customHeight="1">
      <c r="R640" s="2"/>
      <c r="S640" s="2"/>
      <c r="T640" s="2"/>
      <c r="U640" s="2"/>
      <c r="V640" s="2"/>
      <c r="W640" s="2"/>
      <c r="X640" s="2"/>
    </row>
    <row r="641" ht="15.75" customHeight="1">
      <c r="R641" s="2"/>
      <c r="S641" s="2"/>
      <c r="T641" s="2"/>
      <c r="U641" s="2"/>
      <c r="V641" s="2"/>
      <c r="W641" s="2"/>
      <c r="X641" s="2"/>
    </row>
    <row r="642" ht="15.75" customHeight="1">
      <c r="R642" s="2"/>
      <c r="S642" s="2"/>
      <c r="T642" s="2"/>
      <c r="U642" s="2"/>
      <c r="V642" s="2"/>
      <c r="W642" s="2"/>
      <c r="X642" s="2"/>
    </row>
    <row r="643" ht="15.75" customHeight="1">
      <c r="R643" s="2"/>
      <c r="S643" s="2"/>
      <c r="T643" s="2"/>
      <c r="U643" s="2"/>
      <c r="V643" s="2"/>
      <c r="W643" s="2"/>
      <c r="X643" s="2"/>
    </row>
    <row r="644" ht="15.75" customHeight="1">
      <c r="R644" s="2"/>
      <c r="S644" s="2"/>
      <c r="T644" s="2"/>
      <c r="U644" s="2"/>
      <c r="V644" s="2"/>
      <c r="W644" s="2"/>
      <c r="X644" s="2"/>
    </row>
    <row r="645" ht="15.75" customHeight="1">
      <c r="R645" s="2"/>
      <c r="S645" s="2"/>
      <c r="T645" s="2"/>
      <c r="U645" s="2"/>
      <c r="V645" s="2"/>
      <c r="W645" s="2"/>
      <c r="X645" s="2"/>
    </row>
    <row r="646" ht="15.75" customHeight="1">
      <c r="R646" s="2"/>
      <c r="S646" s="2"/>
      <c r="T646" s="2"/>
      <c r="U646" s="2"/>
      <c r="V646" s="2"/>
      <c r="W646" s="2"/>
      <c r="X646" s="2"/>
    </row>
    <row r="647" ht="15.75" customHeight="1">
      <c r="R647" s="2"/>
      <c r="S647" s="2"/>
      <c r="T647" s="2"/>
      <c r="U647" s="2"/>
      <c r="V647" s="2"/>
      <c r="W647" s="2"/>
      <c r="X647" s="2"/>
    </row>
    <row r="648" ht="15.75" customHeight="1">
      <c r="R648" s="2"/>
      <c r="S648" s="2"/>
      <c r="T648" s="2"/>
      <c r="U648" s="2"/>
      <c r="V648" s="2"/>
      <c r="W648" s="2"/>
      <c r="X648" s="2"/>
    </row>
    <row r="649" ht="15.75" customHeight="1">
      <c r="R649" s="2"/>
      <c r="S649" s="2"/>
      <c r="T649" s="2"/>
      <c r="U649" s="2"/>
      <c r="V649" s="2"/>
      <c r="W649" s="2"/>
      <c r="X649" s="2"/>
    </row>
    <row r="650" ht="15.75" customHeight="1">
      <c r="R650" s="2"/>
      <c r="S650" s="2"/>
      <c r="T650" s="2"/>
      <c r="U650" s="2"/>
      <c r="V650" s="2"/>
      <c r="W650" s="2"/>
      <c r="X650" s="2"/>
    </row>
    <row r="651" ht="15.75" customHeight="1">
      <c r="R651" s="2"/>
      <c r="S651" s="2"/>
      <c r="T651" s="2"/>
      <c r="U651" s="2"/>
      <c r="V651" s="2"/>
      <c r="W651" s="2"/>
      <c r="X651" s="2"/>
    </row>
    <row r="652" ht="15.75" customHeight="1">
      <c r="R652" s="2"/>
      <c r="S652" s="2"/>
      <c r="T652" s="2"/>
      <c r="U652" s="2"/>
      <c r="V652" s="2"/>
      <c r="W652" s="2"/>
      <c r="X652" s="2"/>
    </row>
    <row r="653" ht="15.75" customHeight="1">
      <c r="R653" s="2"/>
      <c r="S653" s="2"/>
      <c r="T653" s="2"/>
      <c r="U653" s="2"/>
      <c r="V653" s="2"/>
      <c r="W653" s="2"/>
      <c r="X653" s="2"/>
    </row>
    <row r="654" ht="15.75" customHeight="1">
      <c r="R654" s="2"/>
      <c r="S654" s="2"/>
      <c r="T654" s="2"/>
      <c r="U654" s="2"/>
      <c r="V654" s="2"/>
      <c r="W654" s="2"/>
      <c r="X654" s="2"/>
    </row>
    <row r="655" ht="15.75" customHeight="1">
      <c r="R655" s="2"/>
      <c r="S655" s="2"/>
      <c r="T655" s="2"/>
      <c r="U655" s="2"/>
      <c r="V655" s="2"/>
      <c r="W655" s="2"/>
      <c r="X655" s="2"/>
    </row>
    <row r="656" ht="15.75" customHeight="1">
      <c r="R656" s="2"/>
      <c r="S656" s="2"/>
      <c r="T656" s="2"/>
      <c r="U656" s="2"/>
      <c r="V656" s="2"/>
      <c r="W656" s="2"/>
      <c r="X656" s="2"/>
    </row>
    <row r="657" ht="15.75" customHeight="1">
      <c r="R657" s="2"/>
      <c r="S657" s="2"/>
      <c r="T657" s="2"/>
      <c r="U657" s="2"/>
      <c r="V657" s="2"/>
      <c r="W657" s="2"/>
      <c r="X657" s="2"/>
    </row>
    <row r="658" ht="15.75" customHeight="1">
      <c r="R658" s="2"/>
      <c r="S658" s="2"/>
      <c r="T658" s="2"/>
      <c r="U658" s="2"/>
      <c r="V658" s="2"/>
      <c r="W658" s="2"/>
      <c r="X658" s="2"/>
    </row>
    <row r="659" ht="15.75" customHeight="1">
      <c r="R659" s="2"/>
      <c r="S659" s="2"/>
      <c r="T659" s="2"/>
      <c r="U659" s="2"/>
      <c r="V659" s="2"/>
      <c r="W659" s="2"/>
      <c r="X659" s="2"/>
    </row>
    <row r="660" ht="15.75" customHeight="1">
      <c r="R660" s="2"/>
      <c r="S660" s="2"/>
      <c r="T660" s="2"/>
      <c r="U660" s="2"/>
      <c r="V660" s="2"/>
      <c r="W660" s="2"/>
      <c r="X660" s="2"/>
    </row>
    <row r="661" ht="15.75" customHeight="1">
      <c r="R661" s="2"/>
      <c r="S661" s="2"/>
      <c r="T661" s="2"/>
      <c r="U661" s="2"/>
      <c r="V661" s="2"/>
      <c r="W661" s="2"/>
      <c r="X661" s="2"/>
    </row>
    <row r="662" ht="15.75" customHeight="1">
      <c r="R662" s="2"/>
      <c r="S662" s="2"/>
      <c r="T662" s="2"/>
      <c r="U662" s="2"/>
      <c r="V662" s="2"/>
      <c r="W662" s="2"/>
      <c r="X662" s="2"/>
    </row>
    <row r="663" ht="15.75" customHeight="1">
      <c r="R663" s="2"/>
      <c r="S663" s="2"/>
      <c r="T663" s="2"/>
      <c r="U663" s="2"/>
      <c r="V663" s="2"/>
      <c r="W663" s="2"/>
      <c r="X663" s="2"/>
    </row>
    <row r="664" ht="15.75" customHeight="1">
      <c r="R664" s="2"/>
      <c r="S664" s="2"/>
      <c r="T664" s="2"/>
      <c r="U664" s="2"/>
      <c r="V664" s="2"/>
      <c r="W664" s="2"/>
      <c r="X664" s="2"/>
    </row>
    <row r="665" ht="15.75" customHeight="1">
      <c r="R665" s="2"/>
      <c r="S665" s="2"/>
      <c r="T665" s="2"/>
      <c r="U665" s="2"/>
      <c r="V665" s="2"/>
      <c r="W665" s="2"/>
      <c r="X665" s="2"/>
    </row>
    <row r="666" ht="15.75" customHeight="1">
      <c r="R666" s="2"/>
      <c r="S666" s="2"/>
      <c r="T666" s="2"/>
      <c r="U666" s="2"/>
      <c r="V666" s="2"/>
      <c r="W666" s="2"/>
      <c r="X666" s="2"/>
    </row>
    <row r="667" ht="15.75" customHeight="1">
      <c r="R667" s="2"/>
      <c r="S667" s="2"/>
      <c r="T667" s="2"/>
      <c r="U667" s="2"/>
      <c r="V667" s="2"/>
      <c r="W667" s="2"/>
      <c r="X667" s="2"/>
    </row>
    <row r="668" ht="15.75" customHeight="1">
      <c r="R668" s="2"/>
      <c r="S668" s="2"/>
      <c r="T668" s="2"/>
      <c r="U668" s="2"/>
      <c r="V668" s="2"/>
      <c r="W668" s="2"/>
      <c r="X668" s="2"/>
    </row>
    <row r="669" ht="15.75" customHeight="1">
      <c r="R669" s="2"/>
      <c r="S669" s="2"/>
      <c r="T669" s="2"/>
      <c r="U669" s="2"/>
      <c r="V669" s="2"/>
      <c r="W669" s="2"/>
      <c r="X669" s="2"/>
    </row>
    <row r="670" ht="15.75" customHeight="1">
      <c r="R670" s="2"/>
      <c r="S670" s="2"/>
      <c r="T670" s="2"/>
      <c r="U670" s="2"/>
      <c r="V670" s="2"/>
      <c r="W670" s="2"/>
      <c r="X670" s="2"/>
    </row>
    <row r="671" ht="15.75" customHeight="1">
      <c r="R671" s="2"/>
      <c r="S671" s="2"/>
      <c r="T671" s="2"/>
      <c r="U671" s="2"/>
      <c r="V671" s="2"/>
      <c r="W671" s="2"/>
      <c r="X671" s="2"/>
    </row>
    <row r="672" ht="15.75" customHeight="1">
      <c r="R672" s="2"/>
      <c r="S672" s="2"/>
      <c r="T672" s="2"/>
      <c r="U672" s="2"/>
      <c r="V672" s="2"/>
      <c r="W672" s="2"/>
      <c r="X672" s="2"/>
    </row>
    <row r="673" ht="15.75" customHeight="1">
      <c r="R673" s="2"/>
      <c r="S673" s="2"/>
      <c r="T673" s="2"/>
      <c r="U673" s="2"/>
      <c r="V673" s="2"/>
      <c r="W673" s="2"/>
      <c r="X673" s="2"/>
    </row>
    <row r="674" ht="15.75" customHeight="1">
      <c r="R674" s="2"/>
      <c r="S674" s="2"/>
      <c r="T674" s="2"/>
      <c r="U674" s="2"/>
      <c r="V674" s="2"/>
      <c r="W674" s="2"/>
      <c r="X674" s="2"/>
    </row>
    <row r="675" ht="15.75" customHeight="1">
      <c r="R675" s="2"/>
      <c r="S675" s="2"/>
      <c r="T675" s="2"/>
      <c r="U675" s="2"/>
      <c r="V675" s="2"/>
      <c r="W675" s="2"/>
      <c r="X675" s="2"/>
    </row>
    <row r="676" ht="15.75" customHeight="1">
      <c r="R676" s="2"/>
      <c r="S676" s="2"/>
      <c r="T676" s="2"/>
      <c r="U676" s="2"/>
      <c r="V676" s="2"/>
      <c r="W676" s="2"/>
      <c r="X676" s="2"/>
    </row>
    <row r="677" ht="15.75" customHeight="1">
      <c r="R677" s="2"/>
      <c r="S677" s="2"/>
      <c r="T677" s="2"/>
      <c r="U677" s="2"/>
      <c r="V677" s="2"/>
      <c r="W677" s="2"/>
      <c r="X677" s="2"/>
    </row>
    <row r="678" ht="15.75" customHeight="1">
      <c r="R678" s="2"/>
      <c r="S678" s="2"/>
      <c r="T678" s="2"/>
      <c r="U678" s="2"/>
      <c r="V678" s="2"/>
      <c r="W678" s="2"/>
      <c r="X678" s="2"/>
    </row>
    <row r="679" ht="15.75" customHeight="1">
      <c r="R679" s="2"/>
      <c r="S679" s="2"/>
      <c r="T679" s="2"/>
      <c r="U679" s="2"/>
      <c r="V679" s="2"/>
      <c r="W679" s="2"/>
      <c r="X679" s="2"/>
    </row>
    <row r="680" ht="15.75" customHeight="1">
      <c r="R680" s="2"/>
      <c r="S680" s="2"/>
      <c r="T680" s="2"/>
      <c r="U680" s="2"/>
      <c r="V680" s="2"/>
      <c r="W680" s="2"/>
      <c r="X680" s="2"/>
    </row>
    <row r="681" ht="15.75" customHeight="1">
      <c r="R681" s="2"/>
      <c r="S681" s="2"/>
      <c r="T681" s="2"/>
      <c r="U681" s="2"/>
      <c r="V681" s="2"/>
      <c r="W681" s="2"/>
      <c r="X681" s="2"/>
    </row>
    <row r="682" ht="15.75" customHeight="1">
      <c r="R682" s="2"/>
      <c r="S682" s="2"/>
      <c r="T682" s="2"/>
      <c r="U682" s="2"/>
      <c r="V682" s="2"/>
      <c r="W682" s="2"/>
      <c r="X682" s="2"/>
    </row>
    <row r="683" ht="15.75" customHeight="1">
      <c r="R683" s="2"/>
      <c r="S683" s="2"/>
      <c r="T683" s="2"/>
      <c r="U683" s="2"/>
      <c r="V683" s="2"/>
      <c r="W683" s="2"/>
      <c r="X683" s="2"/>
    </row>
    <row r="684" ht="15.75" customHeight="1">
      <c r="R684" s="2"/>
      <c r="S684" s="2"/>
      <c r="T684" s="2"/>
      <c r="U684" s="2"/>
      <c r="V684" s="2"/>
      <c r="W684" s="2"/>
      <c r="X684" s="2"/>
    </row>
    <row r="685" ht="15.75" customHeight="1">
      <c r="R685" s="2"/>
      <c r="S685" s="2"/>
      <c r="T685" s="2"/>
      <c r="U685" s="2"/>
      <c r="V685" s="2"/>
      <c r="W685" s="2"/>
      <c r="X685" s="2"/>
    </row>
    <row r="686" ht="15.75" customHeight="1">
      <c r="R686" s="2"/>
      <c r="S686" s="2"/>
      <c r="T686" s="2"/>
      <c r="U686" s="2"/>
      <c r="V686" s="2"/>
      <c r="W686" s="2"/>
      <c r="X686" s="2"/>
    </row>
    <row r="687" ht="15.75" customHeight="1">
      <c r="R687" s="2"/>
      <c r="S687" s="2"/>
      <c r="T687" s="2"/>
      <c r="U687" s="2"/>
      <c r="V687" s="2"/>
      <c r="W687" s="2"/>
      <c r="X687" s="2"/>
    </row>
    <row r="688" ht="15.75" customHeight="1">
      <c r="R688" s="2"/>
      <c r="S688" s="2"/>
      <c r="T688" s="2"/>
      <c r="U688" s="2"/>
      <c r="V688" s="2"/>
      <c r="W688" s="2"/>
      <c r="X688" s="2"/>
    </row>
    <row r="689" ht="15.75" customHeight="1">
      <c r="R689" s="2"/>
      <c r="S689" s="2"/>
      <c r="T689" s="2"/>
      <c r="U689" s="2"/>
      <c r="V689" s="2"/>
      <c r="W689" s="2"/>
      <c r="X689" s="2"/>
    </row>
    <row r="690" ht="15.75" customHeight="1">
      <c r="R690" s="2"/>
      <c r="S690" s="2"/>
      <c r="T690" s="2"/>
      <c r="U690" s="2"/>
      <c r="V690" s="2"/>
      <c r="W690" s="2"/>
      <c r="X690" s="2"/>
    </row>
    <row r="691" ht="15.75" customHeight="1">
      <c r="R691" s="2"/>
      <c r="S691" s="2"/>
      <c r="T691" s="2"/>
      <c r="U691" s="2"/>
      <c r="V691" s="2"/>
      <c r="W691" s="2"/>
      <c r="X691" s="2"/>
    </row>
    <row r="692" ht="15.75" customHeight="1">
      <c r="R692" s="2"/>
      <c r="S692" s="2"/>
      <c r="T692" s="2"/>
      <c r="U692" s="2"/>
      <c r="V692" s="2"/>
      <c r="W692" s="2"/>
      <c r="X692" s="2"/>
    </row>
    <row r="693" ht="15.75" customHeight="1">
      <c r="R693" s="2"/>
      <c r="S693" s="2"/>
      <c r="T693" s="2"/>
      <c r="U693" s="2"/>
      <c r="V693" s="2"/>
      <c r="W693" s="2"/>
      <c r="X693" s="2"/>
    </row>
    <row r="694" ht="15.75" customHeight="1">
      <c r="R694" s="2"/>
      <c r="S694" s="2"/>
      <c r="T694" s="2"/>
      <c r="U694" s="2"/>
      <c r="V694" s="2"/>
      <c r="W694" s="2"/>
      <c r="X694" s="2"/>
    </row>
    <row r="695" ht="15.75" customHeight="1">
      <c r="R695" s="2"/>
      <c r="S695" s="2"/>
      <c r="T695" s="2"/>
      <c r="U695" s="2"/>
      <c r="V695" s="2"/>
      <c r="W695" s="2"/>
      <c r="X695" s="2"/>
    </row>
    <row r="696" ht="15.75" customHeight="1">
      <c r="R696" s="2"/>
      <c r="S696" s="2"/>
      <c r="T696" s="2"/>
      <c r="U696" s="2"/>
      <c r="V696" s="2"/>
      <c r="W696" s="2"/>
      <c r="X696" s="2"/>
    </row>
    <row r="697" ht="15.75" customHeight="1">
      <c r="R697" s="2"/>
      <c r="S697" s="2"/>
      <c r="T697" s="2"/>
      <c r="U697" s="2"/>
      <c r="V697" s="2"/>
      <c r="W697" s="2"/>
      <c r="X697" s="2"/>
    </row>
    <row r="698" ht="15.75" customHeight="1">
      <c r="R698" s="2"/>
      <c r="S698" s="2"/>
      <c r="T698" s="2"/>
      <c r="U698" s="2"/>
      <c r="V698" s="2"/>
      <c r="W698" s="2"/>
      <c r="X698" s="2"/>
    </row>
    <row r="699" ht="15.75" customHeight="1">
      <c r="R699" s="2"/>
      <c r="S699" s="2"/>
      <c r="T699" s="2"/>
      <c r="U699" s="2"/>
      <c r="V699" s="2"/>
      <c r="W699" s="2"/>
      <c r="X699" s="2"/>
    </row>
    <row r="700" ht="15.75" customHeight="1">
      <c r="R700" s="2"/>
      <c r="S700" s="2"/>
      <c r="T700" s="2"/>
      <c r="U700" s="2"/>
      <c r="V700" s="2"/>
      <c r="W700" s="2"/>
      <c r="X700" s="2"/>
    </row>
    <row r="701" ht="15.75" customHeight="1">
      <c r="R701" s="2"/>
      <c r="S701" s="2"/>
      <c r="T701" s="2"/>
      <c r="U701" s="2"/>
      <c r="V701" s="2"/>
      <c r="W701" s="2"/>
      <c r="X701" s="2"/>
    </row>
    <row r="702" ht="15.75" customHeight="1">
      <c r="R702" s="2"/>
      <c r="S702" s="2"/>
      <c r="T702" s="2"/>
      <c r="U702" s="2"/>
      <c r="V702" s="2"/>
      <c r="W702" s="2"/>
      <c r="X702" s="2"/>
    </row>
    <row r="703" ht="15.75" customHeight="1">
      <c r="R703" s="2"/>
      <c r="S703" s="2"/>
      <c r="T703" s="2"/>
      <c r="U703" s="2"/>
      <c r="V703" s="2"/>
      <c r="W703" s="2"/>
      <c r="X703" s="2"/>
    </row>
    <row r="704" ht="15.75" customHeight="1">
      <c r="R704" s="2"/>
      <c r="S704" s="2"/>
      <c r="T704" s="2"/>
      <c r="U704" s="2"/>
      <c r="V704" s="2"/>
      <c r="W704" s="2"/>
      <c r="X704" s="2"/>
    </row>
    <row r="705" ht="15.75" customHeight="1">
      <c r="R705" s="2"/>
      <c r="S705" s="2"/>
      <c r="T705" s="2"/>
      <c r="U705" s="2"/>
      <c r="V705" s="2"/>
      <c r="W705" s="2"/>
      <c r="X705" s="2"/>
    </row>
    <row r="706" ht="15.75" customHeight="1">
      <c r="R706" s="2"/>
      <c r="S706" s="2"/>
      <c r="T706" s="2"/>
      <c r="U706" s="2"/>
      <c r="V706" s="2"/>
      <c r="W706" s="2"/>
      <c r="X706" s="2"/>
    </row>
    <row r="707" ht="15.75" customHeight="1">
      <c r="R707" s="2"/>
      <c r="S707" s="2"/>
      <c r="T707" s="2"/>
      <c r="U707" s="2"/>
      <c r="V707" s="2"/>
      <c r="W707" s="2"/>
      <c r="X707" s="2"/>
    </row>
    <row r="708" ht="15.75" customHeight="1">
      <c r="R708" s="2"/>
      <c r="S708" s="2"/>
      <c r="T708" s="2"/>
      <c r="U708" s="2"/>
      <c r="V708" s="2"/>
      <c r="W708" s="2"/>
      <c r="X708" s="2"/>
    </row>
    <row r="709" ht="15.75" customHeight="1">
      <c r="R709" s="2"/>
      <c r="S709" s="2"/>
      <c r="T709" s="2"/>
      <c r="U709" s="2"/>
      <c r="V709" s="2"/>
      <c r="W709" s="2"/>
      <c r="X709" s="2"/>
    </row>
    <row r="710" ht="15.75" customHeight="1">
      <c r="R710" s="2"/>
      <c r="S710" s="2"/>
      <c r="T710" s="2"/>
      <c r="U710" s="2"/>
      <c r="V710" s="2"/>
      <c r="W710" s="2"/>
      <c r="X710" s="2"/>
    </row>
    <row r="711" ht="15.75" customHeight="1">
      <c r="R711" s="2"/>
      <c r="S711" s="2"/>
      <c r="T711" s="2"/>
      <c r="U711" s="2"/>
      <c r="V711" s="2"/>
      <c r="W711" s="2"/>
      <c r="X711" s="2"/>
    </row>
    <row r="712" ht="15.75" customHeight="1">
      <c r="R712" s="2"/>
      <c r="S712" s="2"/>
      <c r="T712" s="2"/>
      <c r="U712" s="2"/>
      <c r="V712" s="2"/>
      <c r="W712" s="2"/>
      <c r="X712" s="2"/>
    </row>
    <row r="713" ht="15.75" customHeight="1">
      <c r="R713" s="2"/>
      <c r="S713" s="2"/>
      <c r="T713" s="2"/>
      <c r="U713" s="2"/>
      <c r="V713" s="2"/>
      <c r="W713" s="2"/>
      <c r="X713" s="2"/>
    </row>
    <row r="714" ht="15.75" customHeight="1">
      <c r="R714" s="2"/>
      <c r="S714" s="2"/>
      <c r="T714" s="2"/>
      <c r="U714" s="2"/>
      <c r="V714" s="2"/>
      <c r="W714" s="2"/>
      <c r="X714" s="2"/>
    </row>
    <row r="715" ht="15.75" customHeight="1">
      <c r="R715" s="2"/>
      <c r="S715" s="2"/>
      <c r="T715" s="2"/>
      <c r="U715" s="2"/>
      <c r="V715" s="2"/>
      <c r="W715" s="2"/>
      <c r="X715" s="2"/>
    </row>
    <row r="716" ht="15.75" customHeight="1">
      <c r="R716" s="2"/>
      <c r="S716" s="2"/>
      <c r="T716" s="2"/>
      <c r="U716" s="2"/>
      <c r="V716" s="2"/>
      <c r="W716" s="2"/>
      <c r="X716" s="2"/>
    </row>
    <row r="717" ht="15.75" customHeight="1">
      <c r="R717" s="2"/>
      <c r="S717" s="2"/>
      <c r="T717" s="2"/>
      <c r="U717" s="2"/>
      <c r="V717" s="2"/>
      <c r="W717" s="2"/>
      <c r="X717" s="2"/>
    </row>
    <row r="718" ht="15.75" customHeight="1">
      <c r="R718" s="2"/>
      <c r="S718" s="2"/>
      <c r="T718" s="2"/>
      <c r="U718" s="2"/>
      <c r="V718" s="2"/>
      <c r="W718" s="2"/>
      <c r="X718" s="2"/>
    </row>
    <row r="719" ht="15.75" customHeight="1">
      <c r="R719" s="2"/>
      <c r="S719" s="2"/>
      <c r="T719" s="2"/>
      <c r="U719" s="2"/>
      <c r="V719" s="2"/>
      <c r="W719" s="2"/>
      <c r="X719" s="2"/>
    </row>
    <row r="720" ht="15.75" customHeight="1">
      <c r="R720" s="2"/>
      <c r="S720" s="2"/>
      <c r="T720" s="2"/>
      <c r="U720" s="2"/>
      <c r="V720" s="2"/>
      <c r="W720" s="2"/>
      <c r="X720" s="2"/>
    </row>
    <row r="721" ht="15.75" customHeight="1">
      <c r="R721" s="2"/>
      <c r="S721" s="2"/>
      <c r="T721" s="2"/>
      <c r="U721" s="2"/>
      <c r="V721" s="2"/>
      <c r="W721" s="2"/>
      <c r="X721" s="2"/>
    </row>
    <row r="722" ht="15.75" customHeight="1">
      <c r="R722" s="2"/>
      <c r="S722" s="2"/>
      <c r="T722" s="2"/>
      <c r="U722" s="2"/>
      <c r="V722" s="2"/>
      <c r="W722" s="2"/>
      <c r="X722" s="2"/>
    </row>
    <row r="723" ht="15.75" customHeight="1">
      <c r="R723" s="2"/>
      <c r="S723" s="2"/>
      <c r="T723" s="2"/>
      <c r="U723" s="2"/>
      <c r="V723" s="2"/>
      <c r="W723" s="2"/>
      <c r="X723" s="2"/>
    </row>
    <row r="724" ht="15.75" customHeight="1">
      <c r="R724" s="2"/>
      <c r="S724" s="2"/>
      <c r="T724" s="2"/>
      <c r="U724" s="2"/>
      <c r="V724" s="2"/>
      <c r="W724" s="2"/>
      <c r="X724" s="2"/>
    </row>
    <row r="725" ht="15.75" customHeight="1">
      <c r="R725" s="2"/>
      <c r="S725" s="2"/>
      <c r="T725" s="2"/>
      <c r="U725" s="2"/>
      <c r="V725" s="2"/>
      <c r="W725" s="2"/>
      <c r="X725" s="2"/>
    </row>
    <row r="726" ht="15.75" customHeight="1">
      <c r="R726" s="2"/>
      <c r="S726" s="2"/>
      <c r="T726" s="2"/>
      <c r="U726" s="2"/>
      <c r="V726" s="2"/>
      <c r="W726" s="2"/>
      <c r="X726" s="2"/>
    </row>
    <row r="727" ht="15.75" customHeight="1">
      <c r="R727" s="2"/>
      <c r="S727" s="2"/>
      <c r="T727" s="2"/>
      <c r="U727" s="2"/>
      <c r="V727" s="2"/>
      <c r="W727" s="2"/>
      <c r="X727" s="2"/>
    </row>
    <row r="728" ht="15.75" customHeight="1">
      <c r="R728" s="2"/>
      <c r="S728" s="2"/>
      <c r="T728" s="2"/>
      <c r="U728" s="2"/>
      <c r="V728" s="2"/>
      <c r="W728" s="2"/>
      <c r="X728" s="2"/>
    </row>
    <row r="729" ht="15.75" customHeight="1">
      <c r="R729" s="2"/>
      <c r="S729" s="2"/>
      <c r="T729" s="2"/>
      <c r="U729" s="2"/>
      <c r="V729" s="2"/>
      <c r="W729" s="2"/>
      <c r="X729" s="2"/>
    </row>
    <row r="730" ht="15.75" customHeight="1">
      <c r="R730" s="2"/>
      <c r="S730" s="2"/>
      <c r="T730" s="2"/>
      <c r="U730" s="2"/>
      <c r="V730" s="2"/>
      <c r="W730" s="2"/>
      <c r="X730" s="2"/>
    </row>
    <row r="731" ht="15.75" customHeight="1">
      <c r="R731" s="2"/>
      <c r="S731" s="2"/>
      <c r="T731" s="2"/>
      <c r="U731" s="2"/>
      <c r="V731" s="2"/>
      <c r="W731" s="2"/>
      <c r="X731" s="2"/>
    </row>
    <row r="732" ht="15.75" customHeight="1">
      <c r="R732" s="2"/>
      <c r="S732" s="2"/>
      <c r="T732" s="2"/>
      <c r="U732" s="2"/>
      <c r="V732" s="2"/>
      <c r="W732" s="2"/>
      <c r="X732" s="2"/>
    </row>
    <row r="733" ht="15.75" customHeight="1">
      <c r="R733" s="2"/>
      <c r="S733" s="2"/>
      <c r="T733" s="2"/>
      <c r="U733" s="2"/>
      <c r="V733" s="2"/>
      <c r="W733" s="2"/>
      <c r="X733" s="2"/>
    </row>
    <row r="734" ht="15.75" customHeight="1">
      <c r="R734" s="2"/>
      <c r="S734" s="2"/>
      <c r="T734" s="2"/>
      <c r="U734" s="2"/>
      <c r="V734" s="2"/>
      <c r="W734" s="2"/>
      <c r="X734" s="2"/>
    </row>
    <row r="735" ht="15.75" customHeight="1">
      <c r="R735" s="2"/>
      <c r="S735" s="2"/>
      <c r="T735" s="2"/>
      <c r="U735" s="2"/>
      <c r="V735" s="2"/>
      <c r="W735" s="2"/>
      <c r="X735" s="2"/>
    </row>
    <row r="736" ht="15.75" customHeight="1">
      <c r="R736" s="2"/>
      <c r="S736" s="2"/>
      <c r="T736" s="2"/>
      <c r="U736" s="2"/>
      <c r="V736" s="2"/>
      <c r="W736" s="2"/>
      <c r="X736" s="2"/>
    </row>
    <row r="737" ht="15.75" customHeight="1">
      <c r="R737" s="2"/>
      <c r="S737" s="2"/>
      <c r="T737" s="2"/>
      <c r="U737" s="2"/>
      <c r="V737" s="2"/>
      <c r="W737" s="2"/>
      <c r="X737" s="2"/>
    </row>
    <row r="738" ht="15.75" customHeight="1">
      <c r="R738" s="2"/>
      <c r="S738" s="2"/>
      <c r="T738" s="2"/>
      <c r="U738" s="2"/>
      <c r="V738" s="2"/>
      <c r="W738" s="2"/>
      <c r="X738" s="2"/>
    </row>
    <row r="739" ht="15.75" customHeight="1">
      <c r="R739" s="2"/>
      <c r="S739" s="2"/>
      <c r="T739" s="2"/>
      <c r="U739" s="2"/>
      <c r="V739" s="2"/>
      <c r="W739" s="2"/>
      <c r="X739" s="2"/>
    </row>
    <row r="740" ht="15.75" customHeight="1">
      <c r="R740" s="2"/>
      <c r="S740" s="2"/>
      <c r="T740" s="2"/>
      <c r="U740" s="2"/>
      <c r="V740" s="2"/>
      <c r="W740" s="2"/>
      <c r="X740" s="2"/>
    </row>
    <row r="741" ht="15.75" customHeight="1">
      <c r="R741" s="2"/>
      <c r="S741" s="2"/>
      <c r="T741" s="2"/>
      <c r="U741" s="2"/>
      <c r="V741" s="2"/>
      <c r="W741" s="2"/>
      <c r="X741" s="2"/>
    </row>
    <row r="742" ht="15.75" customHeight="1">
      <c r="R742" s="2"/>
      <c r="S742" s="2"/>
      <c r="T742" s="2"/>
      <c r="U742" s="2"/>
      <c r="V742" s="2"/>
      <c r="W742" s="2"/>
      <c r="X742" s="2"/>
    </row>
    <row r="743" ht="15.75" customHeight="1">
      <c r="R743" s="2"/>
      <c r="S743" s="2"/>
      <c r="T743" s="2"/>
      <c r="U743" s="2"/>
      <c r="V743" s="2"/>
      <c r="W743" s="2"/>
      <c r="X743" s="2"/>
    </row>
    <row r="744" ht="15.75" customHeight="1">
      <c r="R744" s="2"/>
      <c r="S744" s="2"/>
      <c r="T744" s="2"/>
      <c r="U744" s="2"/>
      <c r="V744" s="2"/>
      <c r="W744" s="2"/>
      <c r="X744" s="2"/>
    </row>
    <row r="745" ht="15.75" customHeight="1">
      <c r="R745" s="2"/>
      <c r="S745" s="2"/>
      <c r="T745" s="2"/>
      <c r="U745" s="2"/>
      <c r="V745" s="2"/>
      <c r="W745" s="2"/>
      <c r="X745" s="2"/>
    </row>
    <row r="746" ht="15.75" customHeight="1">
      <c r="R746" s="2"/>
      <c r="S746" s="2"/>
      <c r="T746" s="2"/>
      <c r="U746" s="2"/>
      <c r="V746" s="2"/>
      <c r="W746" s="2"/>
      <c r="X746" s="2"/>
    </row>
    <row r="747" ht="15.75" customHeight="1">
      <c r="R747" s="2"/>
      <c r="S747" s="2"/>
      <c r="T747" s="2"/>
      <c r="U747" s="2"/>
      <c r="V747" s="2"/>
      <c r="W747" s="2"/>
      <c r="X747" s="2"/>
    </row>
    <row r="748" ht="15.75" customHeight="1">
      <c r="R748" s="2"/>
      <c r="S748" s="2"/>
      <c r="T748" s="2"/>
      <c r="U748" s="2"/>
      <c r="V748" s="2"/>
      <c r="W748" s="2"/>
      <c r="X748" s="2"/>
    </row>
    <row r="749" ht="15.75" customHeight="1">
      <c r="R749" s="2"/>
      <c r="S749" s="2"/>
      <c r="T749" s="2"/>
      <c r="U749" s="2"/>
      <c r="V749" s="2"/>
      <c r="W749" s="2"/>
      <c r="X749" s="2"/>
    </row>
    <row r="750" ht="15.75" customHeight="1">
      <c r="R750" s="2"/>
      <c r="S750" s="2"/>
      <c r="T750" s="2"/>
      <c r="U750" s="2"/>
      <c r="V750" s="2"/>
      <c r="W750" s="2"/>
      <c r="X750" s="2"/>
    </row>
    <row r="751" ht="15.75" customHeight="1">
      <c r="R751" s="2"/>
      <c r="S751" s="2"/>
      <c r="T751" s="2"/>
      <c r="U751" s="2"/>
      <c r="V751" s="2"/>
      <c r="W751" s="2"/>
      <c r="X751" s="2"/>
    </row>
    <row r="752" ht="15.75" customHeight="1">
      <c r="R752" s="2"/>
      <c r="S752" s="2"/>
      <c r="T752" s="2"/>
      <c r="U752" s="2"/>
      <c r="V752" s="2"/>
      <c r="W752" s="2"/>
      <c r="X752" s="2"/>
    </row>
    <row r="753" ht="15.75" customHeight="1">
      <c r="R753" s="2"/>
      <c r="S753" s="2"/>
      <c r="T753" s="2"/>
      <c r="U753" s="2"/>
      <c r="V753" s="2"/>
      <c r="W753" s="2"/>
      <c r="X753" s="2"/>
    </row>
    <row r="754" ht="15.75" customHeight="1">
      <c r="R754" s="2"/>
      <c r="S754" s="2"/>
      <c r="T754" s="2"/>
      <c r="U754" s="2"/>
      <c r="V754" s="2"/>
      <c r="W754" s="2"/>
      <c r="X754" s="2"/>
    </row>
    <row r="755" ht="15.75" customHeight="1">
      <c r="R755" s="2"/>
      <c r="S755" s="2"/>
      <c r="T755" s="2"/>
      <c r="U755" s="2"/>
      <c r="V755" s="2"/>
      <c r="W755" s="2"/>
      <c r="X755" s="2"/>
    </row>
    <row r="756" ht="15.75" customHeight="1">
      <c r="R756" s="2"/>
      <c r="S756" s="2"/>
      <c r="T756" s="2"/>
      <c r="U756" s="2"/>
      <c r="V756" s="2"/>
      <c r="W756" s="2"/>
      <c r="X756" s="2"/>
    </row>
    <row r="757" ht="15.75" customHeight="1">
      <c r="R757" s="2"/>
      <c r="S757" s="2"/>
      <c r="T757" s="2"/>
      <c r="U757" s="2"/>
      <c r="V757" s="2"/>
      <c r="W757" s="2"/>
      <c r="X757" s="2"/>
    </row>
    <row r="758" ht="15.75" customHeight="1">
      <c r="R758" s="2"/>
      <c r="S758" s="2"/>
      <c r="T758" s="2"/>
      <c r="U758" s="2"/>
      <c r="V758" s="2"/>
      <c r="W758" s="2"/>
      <c r="X758" s="2"/>
    </row>
    <row r="759" ht="15.75" customHeight="1">
      <c r="R759" s="2"/>
      <c r="S759" s="2"/>
      <c r="T759" s="2"/>
      <c r="U759" s="2"/>
      <c r="V759" s="2"/>
      <c r="W759" s="2"/>
      <c r="X759" s="2"/>
    </row>
    <row r="760" ht="15.75" customHeight="1">
      <c r="R760" s="2"/>
      <c r="S760" s="2"/>
      <c r="T760" s="2"/>
      <c r="U760" s="2"/>
      <c r="V760" s="2"/>
      <c r="W760" s="2"/>
      <c r="X760" s="2"/>
    </row>
    <row r="761" ht="15.75" customHeight="1">
      <c r="R761" s="2"/>
      <c r="S761" s="2"/>
      <c r="T761" s="2"/>
      <c r="U761" s="2"/>
      <c r="V761" s="2"/>
      <c r="W761" s="2"/>
      <c r="X761" s="2"/>
    </row>
    <row r="762" ht="15.75" customHeight="1">
      <c r="R762" s="2"/>
      <c r="S762" s="2"/>
      <c r="T762" s="2"/>
      <c r="U762" s="2"/>
      <c r="V762" s="2"/>
      <c r="W762" s="2"/>
      <c r="X762" s="2"/>
    </row>
    <row r="763" ht="15.75" customHeight="1">
      <c r="R763" s="2"/>
      <c r="S763" s="2"/>
      <c r="T763" s="2"/>
      <c r="U763" s="2"/>
      <c r="V763" s="2"/>
      <c r="W763" s="2"/>
      <c r="X763" s="2"/>
    </row>
    <row r="764" ht="15.75" customHeight="1">
      <c r="R764" s="2"/>
      <c r="S764" s="2"/>
      <c r="T764" s="2"/>
      <c r="U764" s="2"/>
      <c r="V764" s="2"/>
      <c r="W764" s="2"/>
      <c r="X764" s="2"/>
    </row>
    <row r="765" ht="15.75" customHeight="1">
      <c r="R765" s="2"/>
      <c r="S765" s="2"/>
      <c r="T765" s="2"/>
      <c r="U765" s="2"/>
      <c r="V765" s="2"/>
      <c r="W765" s="2"/>
      <c r="X765" s="2"/>
    </row>
    <row r="766" ht="15.75" customHeight="1">
      <c r="R766" s="2"/>
      <c r="S766" s="2"/>
      <c r="T766" s="2"/>
      <c r="U766" s="2"/>
      <c r="V766" s="2"/>
      <c r="W766" s="2"/>
      <c r="X766" s="2"/>
    </row>
    <row r="767" ht="15.75" customHeight="1">
      <c r="R767" s="2"/>
      <c r="S767" s="2"/>
      <c r="T767" s="2"/>
      <c r="U767" s="2"/>
      <c r="V767" s="2"/>
      <c r="W767" s="2"/>
      <c r="X767" s="2"/>
    </row>
    <row r="768" ht="15.75" customHeight="1">
      <c r="R768" s="2"/>
      <c r="S768" s="2"/>
      <c r="T768" s="2"/>
      <c r="U768" s="2"/>
      <c r="V768" s="2"/>
      <c r="W768" s="2"/>
      <c r="X768" s="2"/>
    </row>
    <row r="769" ht="15.75" customHeight="1">
      <c r="R769" s="2"/>
      <c r="S769" s="2"/>
      <c r="T769" s="2"/>
      <c r="U769" s="2"/>
      <c r="V769" s="2"/>
      <c r="W769" s="2"/>
      <c r="X769" s="2"/>
    </row>
    <row r="770" ht="15.75" customHeight="1">
      <c r="R770" s="2"/>
      <c r="S770" s="2"/>
      <c r="T770" s="2"/>
      <c r="U770" s="2"/>
      <c r="V770" s="2"/>
      <c r="W770" s="2"/>
      <c r="X770" s="2"/>
    </row>
    <row r="771" ht="15.75" customHeight="1">
      <c r="R771" s="2"/>
      <c r="S771" s="2"/>
      <c r="T771" s="2"/>
      <c r="U771" s="2"/>
      <c r="V771" s="2"/>
      <c r="W771" s="2"/>
      <c r="X771" s="2"/>
    </row>
    <row r="772" ht="15.75" customHeight="1">
      <c r="R772" s="2"/>
      <c r="S772" s="2"/>
      <c r="T772" s="2"/>
      <c r="U772" s="2"/>
      <c r="V772" s="2"/>
      <c r="W772" s="2"/>
      <c r="X772" s="2"/>
    </row>
    <row r="773" ht="15.75" customHeight="1">
      <c r="R773" s="2"/>
      <c r="S773" s="2"/>
      <c r="T773" s="2"/>
      <c r="U773" s="2"/>
      <c r="V773" s="2"/>
      <c r="W773" s="2"/>
      <c r="X773" s="2"/>
    </row>
    <row r="774" ht="15.75" customHeight="1">
      <c r="R774" s="2"/>
      <c r="S774" s="2"/>
      <c r="T774" s="2"/>
      <c r="U774" s="2"/>
      <c r="V774" s="2"/>
      <c r="W774" s="2"/>
      <c r="X774" s="2"/>
    </row>
    <row r="775" ht="15.75" customHeight="1">
      <c r="R775" s="2"/>
      <c r="S775" s="2"/>
      <c r="T775" s="2"/>
      <c r="U775" s="2"/>
      <c r="V775" s="2"/>
      <c r="W775" s="2"/>
      <c r="X775" s="2"/>
    </row>
    <row r="776" ht="15.75" customHeight="1">
      <c r="R776" s="2"/>
      <c r="S776" s="2"/>
      <c r="T776" s="2"/>
      <c r="U776" s="2"/>
      <c r="V776" s="2"/>
      <c r="W776" s="2"/>
      <c r="X776" s="2"/>
    </row>
    <row r="777" ht="15.75" customHeight="1">
      <c r="R777" s="2"/>
      <c r="S777" s="2"/>
      <c r="T777" s="2"/>
      <c r="U777" s="2"/>
      <c r="V777" s="2"/>
      <c r="W777" s="2"/>
      <c r="X777" s="2"/>
    </row>
    <row r="778" ht="15.75" customHeight="1">
      <c r="R778" s="2"/>
      <c r="S778" s="2"/>
      <c r="T778" s="2"/>
      <c r="U778" s="2"/>
      <c r="V778" s="2"/>
      <c r="W778" s="2"/>
      <c r="X778" s="2"/>
    </row>
    <row r="779" ht="15.75" customHeight="1">
      <c r="R779" s="2"/>
      <c r="S779" s="2"/>
      <c r="T779" s="2"/>
      <c r="U779" s="2"/>
      <c r="V779" s="2"/>
      <c r="W779" s="2"/>
      <c r="X779" s="2"/>
    </row>
    <row r="780" ht="15.75" customHeight="1">
      <c r="R780" s="2"/>
      <c r="S780" s="2"/>
      <c r="T780" s="2"/>
      <c r="U780" s="2"/>
      <c r="V780" s="2"/>
      <c r="W780" s="2"/>
      <c r="X780" s="2"/>
    </row>
    <row r="781" ht="15.75" customHeight="1">
      <c r="R781" s="2"/>
      <c r="S781" s="2"/>
      <c r="T781" s="2"/>
      <c r="U781" s="2"/>
      <c r="V781" s="2"/>
      <c r="W781" s="2"/>
      <c r="X781" s="2"/>
    </row>
    <row r="782" ht="15.75" customHeight="1">
      <c r="R782" s="2"/>
      <c r="S782" s="2"/>
      <c r="T782" s="2"/>
      <c r="U782" s="2"/>
      <c r="V782" s="2"/>
      <c r="W782" s="2"/>
      <c r="X782" s="2"/>
    </row>
    <row r="783" ht="15.75" customHeight="1">
      <c r="R783" s="2"/>
      <c r="S783" s="2"/>
      <c r="T783" s="2"/>
      <c r="U783" s="2"/>
      <c r="V783" s="2"/>
      <c r="W783" s="2"/>
      <c r="X783" s="2"/>
    </row>
    <row r="784" ht="15.75" customHeight="1">
      <c r="R784" s="2"/>
      <c r="S784" s="2"/>
      <c r="T784" s="2"/>
      <c r="U784" s="2"/>
      <c r="V784" s="2"/>
      <c r="W784" s="2"/>
      <c r="X784" s="2"/>
    </row>
    <row r="785" ht="15.75" customHeight="1">
      <c r="R785" s="2"/>
      <c r="S785" s="2"/>
      <c r="T785" s="2"/>
      <c r="U785" s="2"/>
      <c r="V785" s="2"/>
      <c r="W785" s="2"/>
      <c r="X785" s="2"/>
    </row>
    <row r="786" ht="15.75" customHeight="1">
      <c r="R786" s="2"/>
      <c r="S786" s="2"/>
      <c r="T786" s="2"/>
      <c r="U786" s="2"/>
      <c r="V786" s="2"/>
      <c r="W786" s="2"/>
      <c r="X786" s="2"/>
    </row>
    <row r="787" ht="15.75" customHeight="1">
      <c r="R787" s="2"/>
      <c r="S787" s="2"/>
      <c r="T787" s="2"/>
      <c r="U787" s="2"/>
      <c r="V787" s="2"/>
      <c r="W787" s="2"/>
      <c r="X787" s="2"/>
    </row>
    <row r="788" ht="15.75" customHeight="1">
      <c r="R788" s="2"/>
      <c r="S788" s="2"/>
      <c r="T788" s="2"/>
      <c r="U788" s="2"/>
      <c r="V788" s="2"/>
      <c r="W788" s="2"/>
      <c r="X788" s="2"/>
    </row>
    <row r="789" ht="15.75" customHeight="1">
      <c r="R789" s="2"/>
      <c r="S789" s="2"/>
      <c r="T789" s="2"/>
      <c r="U789" s="2"/>
      <c r="V789" s="2"/>
      <c r="W789" s="2"/>
      <c r="X789" s="2"/>
    </row>
    <row r="790" ht="15.75" customHeight="1">
      <c r="R790" s="2"/>
      <c r="S790" s="2"/>
      <c r="T790" s="2"/>
      <c r="U790" s="2"/>
      <c r="V790" s="2"/>
      <c r="W790" s="2"/>
      <c r="X790" s="2"/>
    </row>
    <row r="791" ht="15.75" customHeight="1">
      <c r="R791" s="2"/>
      <c r="S791" s="2"/>
      <c r="T791" s="2"/>
      <c r="U791" s="2"/>
      <c r="V791" s="2"/>
      <c r="W791" s="2"/>
      <c r="X791" s="2"/>
    </row>
    <row r="792" ht="15.75" customHeight="1">
      <c r="R792" s="2"/>
      <c r="S792" s="2"/>
      <c r="T792" s="2"/>
      <c r="U792" s="2"/>
      <c r="V792" s="2"/>
      <c r="W792" s="2"/>
      <c r="X792" s="2"/>
    </row>
    <row r="793" ht="15.75" customHeight="1">
      <c r="R793" s="2"/>
      <c r="S793" s="2"/>
      <c r="T793" s="2"/>
      <c r="U793" s="2"/>
      <c r="V793" s="2"/>
      <c r="W793" s="2"/>
      <c r="X793" s="2"/>
    </row>
    <row r="794" ht="15.75" customHeight="1">
      <c r="R794" s="2"/>
      <c r="S794" s="2"/>
      <c r="T794" s="2"/>
      <c r="U794" s="2"/>
      <c r="V794" s="2"/>
      <c r="W794" s="2"/>
      <c r="X794" s="2"/>
    </row>
    <row r="795" ht="15.75" customHeight="1">
      <c r="R795" s="2"/>
      <c r="S795" s="2"/>
      <c r="T795" s="2"/>
      <c r="U795" s="2"/>
      <c r="V795" s="2"/>
      <c r="W795" s="2"/>
      <c r="X795" s="2"/>
    </row>
    <row r="796" ht="15.75" customHeight="1">
      <c r="R796" s="2"/>
      <c r="S796" s="2"/>
      <c r="T796" s="2"/>
      <c r="U796" s="2"/>
      <c r="V796" s="2"/>
      <c r="W796" s="2"/>
      <c r="X796" s="2"/>
    </row>
    <row r="797" ht="15.75" customHeight="1">
      <c r="R797" s="2"/>
      <c r="S797" s="2"/>
      <c r="T797" s="2"/>
      <c r="U797" s="2"/>
      <c r="V797" s="2"/>
      <c r="W797" s="2"/>
      <c r="X797" s="2"/>
    </row>
    <row r="798" ht="15.75" customHeight="1">
      <c r="R798" s="2"/>
      <c r="S798" s="2"/>
      <c r="T798" s="2"/>
      <c r="U798" s="2"/>
      <c r="V798" s="2"/>
      <c r="W798" s="2"/>
      <c r="X798" s="2"/>
    </row>
    <row r="799" ht="15.75" customHeight="1">
      <c r="R799" s="2"/>
      <c r="S799" s="2"/>
      <c r="T799" s="2"/>
      <c r="U799" s="2"/>
      <c r="V799" s="2"/>
      <c r="W799" s="2"/>
      <c r="X799" s="2"/>
    </row>
    <row r="800" ht="15.75" customHeight="1">
      <c r="R800" s="2"/>
      <c r="S800" s="2"/>
      <c r="T800" s="2"/>
      <c r="U800" s="2"/>
      <c r="V800" s="2"/>
      <c r="W800" s="2"/>
      <c r="X800" s="2"/>
    </row>
    <row r="801" ht="15.75" customHeight="1">
      <c r="R801" s="2"/>
      <c r="S801" s="2"/>
      <c r="T801" s="2"/>
      <c r="U801" s="2"/>
      <c r="V801" s="2"/>
      <c r="W801" s="2"/>
      <c r="X801" s="2"/>
    </row>
    <row r="802" ht="15.75" customHeight="1">
      <c r="R802" s="2"/>
      <c r="S802" s="2"/>
      <c r="T802" s="2"/>
      <c r="U802" s="2"/>
      <c r="V802" s="2"/>
      <c r="W802" s="2"/>
      <c r="X802" s="2"/>
    </row>
    <row r="803" ht="15.75" customHeight="1">
      <c r="R803" s="2"/>
      <c r="S803" s="2"/>
      <c r="T803" s="2"/>
      <c r="U803" s="2"/>
      <c r="V803" s="2"/>
      <c r="W803" s="2"/>
      <c r="X803" s="2"/>
    </row>
    <row r="804" ht="15.75" customHeight="1">
      <c r="R804" s="2"/>
      <c r="S804" s="2"/>
      <c r="T804" s="2"/>
      <c r="U804" s="2"/>
      <c r="V804" s="2"/>
      <c r="W804" s="2"/>
      <c r="X804" s="2"/>
    </row>
    <row r="805" ht="15.75" customHeight="1">
      <c r="R805" s="2"/>
      <c r="S805" s="2"/>
      <c r="T805" s="2"/>
      <c r="U805" s="2"/>
      <c r="V805" s="2"/>
      <c r="W805" s="2"/>
      <c r="X805" s="2"/>
    </row>
    <row r="806" ht="15.75" customHeight="1">
      <c r="R806" s="2"/>
      <c r="S806" s="2"/>
      <c r="T806" s="2"/>
      <c r="U806" s="2"/>
      <c r="V806" s="2"/>
      <c r="W806" s="2"/>
      <c r="X806" s="2"/>
    </row>
    <row r="807" ht="15.75" customHeight="1">
      <c r="R807" s="2"/>
      <c r="S807" s="2"/>
      <c r="T807" s="2"/>
      <c r="U807" s="2"/>
      <c r="V807" s="2"/>
      <c r="W807" s="2"/>
      <c r="X807" s="2"/>
    </row>
    <row r="808" ht="15.75" customHeight="1">
      <c r="R808" s="2"/>
      <c r="S808" s="2"/>
      <c r="T808" s="2"/>
      <c r="U808" s="2"/>
      <c r="V808" s="2"/>
      <c r="W808" s="2"/>
      <c r="X808" s="2"/>
    </row>
    <row r="809" ht="15.75" customHeight="1">
      <c r="R809" s="2"/>
      <c r="S809" s="2"/>
      <c r="T809" s="2"/>
      <c r="U809" s="2"/>
      <c r="V809" s="2"/>
      <c r="W809" s="2"/>
      <c r="X809" s="2"/>
    </row>
    <row r="810" ht="15.75" customHeight="1">
      <c r="R810" s="2"/>
      <c r="S810" s="2"/>
      <c r="T810" s="2"/>
      <c r="U810" s="2"/>
      <c r="V810" s="2"/>
      <c r="W810" s="2"/>
      <c r="X810" s="2"/>
    </row>
    <row r="811" ht="15.75" customHeight="1">
      <c r="R811" s="2"/>
      <c r="S811" s="2"/>
      <c r="T811" s="2"/>
      <c r="U811" s="2"/>
      <c r="V811" s="2"/>
      <c r="W811" s="2"/>
      <c r="X811" s="2"/>
    </row>
    <row r="812" ht="15.75" customHeight="1">
      <c r="R812" s="2"/>
      <c r="S812" s="2"/>
      <c r="T812" s="2"/>
      <c r="U812" s="2"/>
      <c r="V812" s="2"/>
      <c r="W812" s="2"/>
      <c r="X812" s="2"/>
    </row>
    <row r="813" ht="15.75" customHeight="1">
      <c r="R813" s="2"/>
      <c r="S813" s="2"/>
      <c r="T813" s="2"/>
      <c r="U813" s="2"/>
      <c r="V813" s="2"/>
      <c r="W813" s="2"/>
      <c r="X813" s="2"/>
    </row>
    <row r="814" ht="15.75" customHeight="1">
      <c r="R814" s="2"/>
      <c r="S814" s="2"/>
      <c r="T814" s="2"/>
      <c r="U814" s="2"/>
      <c r="V814" s="2"/>
      <c r="W814" s="2"/>
      <c r="X814" s="2"/>
    </row>
    <row r="815" ht="15.75" customHeight="1">
      <c r="R815" s="2"/>
      <c r="S815" s="2"/>
      <c r="T815" s="2"/>
      <c r="U815" s="2"/>
      <c r="V815" s="2"/>
      <c r="W815" s="2"/>
      <c r="X815" s="2"/>
    </row>
    <row r="816" ht="15.75" customHeight="1">
      <c r="R816" s="2"/>
      <c r="S816" s="2"/>
      <c r="T816" s="2"/>
      <c r="U816" s="2"/>
      <c r="V816" s="2"/>
      <c r="W816" s="2"/>
      <c r="X816" s="2"/>
    </row>
    <row r="817" ht="15.75" customHeight="1">
      <c r="R817" s="2"/>
      <c r="S817" s="2"/>
      <c r="T817" s="2"/>
      <c r="U817" s="2"/>
      <c r="V817" s="2"/>
      <c r="W817" s="2"/>
      <c r="X817" s="2"/>
    </row>
    <row r="818" ht="15.75" customHeight="1">
      <c r="R818" s="2"/>
      <c r="S818" s="2"/>
      <c r="T818" s="2"/>
      <c r="U818" s="2"/>
      <c r="V818" s="2"/>
      <c r="W818" s="2"/>
      <c r="X818" s="2"/>
    </row>
    <row r="819" ht="15.75" customHeight="1">
      <c r="R819" s="2"/>
      <c r="S819" s="2"/>
      <c r="T819" s="2"/>
      <c r="U819" s="2"/>
      <c r="V819" s="2"/>
      <c r="W819" s="2"/>
      <c r="X819" s="2"/>
    </row>
    <row r="820" ht="15.75" customHeight="1">
      <c r="R820" s="2"/>
      <c r="S820" s="2"/>
      <c r="T820" s="2"/>
      <c r="U820" s="2"/>
      <c r="V820" s="2"/>
      <c r="W820" s="2"/>
      <c r="X820" s="2"/>
    </row>
    <row r="821" ht="15.75" customHeight="1">
      <c r="R821" s="2"/>
      <c r="S821" s="2"/>
      <c r="T821" s="2"/>
      <c r="U821" s="2"/>
      <c r="V821" s="2"/>
      <c r="W821" s="2"/>
      <c r="X821" s="2"/>
    </row>
    <row r="822" ht="15.75" customHeight="1">
      <c r="R822" s="2"/>
      <c r="S822" s="2"/>
      <c r="T822" s="2"/>
      <c r="U822" s="2"/>
      <c r="V822" s="2"/>
      <c r="W822" s="2"/>
      <c r="X822" s="2"/>
    </row>
    <row r="823" ht="15.75" customHeight="1">
      <c r="R823" s="2"/>
      <c r="S823" s="2"/>
      <c r="T823" s="2"/>
      <c r="U823" s="2"/>
      <c r="V823" s="2"/>
      <c r="W823" s="2"/>
      <c r="X823" s="2"/>
    </row>
    <row r="824" ht="15.75" customHeight="1">
      <c r="R824" s="2"/>
      <c r="S824" s="2"/>
      <c r="T824" s="2"/>
      <c r="U824" s="2"/>
      <c r="V824" s="2"/>
      <c r="W824" s="2"/>
      <c r="X824" s="2"/>
    </row>
    <row r="825" ht="15.75" customHeight="1">
      <c r="R825" s="2"/>
      <c r="S825" s="2"/>
      <c r="T825" s="2"/>
      <c r="U825" s="2"/>
      <c r="V825" s="2"/>
      <c r="W825" s="2"/>
      <c r="X825" s="2"/>
    </row>
    <row r="826" ht="15.75" customHeight="1">
      <c r="R826" s="2"/>
      <c r="S826" s="2"/>
      <c r="T826" s="2"/>
      <c r="U826" s="2"/>
      <c r="V826" s="2"/>
      <c r="W826" s="2"/>
      <c r="X826" s="2"/>
    </row>
    <row r="827" ht="15.75" customHeight="1">
      <c r="R827" s="2"/>
      <c r="S827" s="2"/>
      <c r="T827" s="2"/>
      <c r="U827" s="2"/>
      <c r="V827" s="2"/>
      <c r="W827" s="2"/>
      <c r="X827" s="2"/>
    </row>
    <row r="828" ht="15.75" customHeight="1">
      <c r="R828" s="2"/>
      <c r="S828" s="2"/>
      <c r="T828" s="2"/>
      <c r="U828" s="2"/>
      <c r="V828" s="2"/>
      <c r="W828" s="2"/>
      <c r="X828" s="2"/>
    </row>
    <row r="829" ht="15.75" customHeight="1">
      <c r="R829" s="2"/>
      <c r="S829" s="2"/>
      <c r="T829" s="2"/>
      <c r="U829" s="2"/>
      <c r="V829" s="2"/>
      <c r="W829" s="2"/>
      <c r="X829" s="2"/>
    </row>
    <row r="830" ht="15.75" customHeight="1">
      <c r="R830" s="2"/>
      <c r="S830" s="2"/>
      <c r="T830" s="2"/>
      <c r="U830" s="2"/>
      <c r="V830" s="2"/>
      <c r="W830" s="2"/>
      <c r="X830" s="2"/>
    </row>
    <row r="831" ht="15.75" customHeight="1">
      <c r="R831" s="2"/>
      <c r="S831" s="2"/>
      <c r="T831" s="2"/>
      <c r="U831" s="2"/>
      <c r="V831" s="2"/>
      <c r="W831" s="2"/>
      <c r="X831" s="2"/>
    </row>
    <row r="832" ht="15.75" customHeight="1">
      <c r="R832" s="2"/>
      <c r="S832" s="2"/>
      <c r="T832" s="2"/>
      <c r="U832" s="2"/>
      <c r="V832" s="2"/>
      <c r="W832" s="2"/>
      <c r="X832" s="2"/>
    </row>
    <row r="833" ht="15.75" customHeight="1">
      <c r="R833" s="2"/>
      <c r="S833" s="2"/>
      <c r="T833" s="2"/>
      <c r="U833" s="2"/>
      <c r="V833" s="2"/>
      <c r="W833" s="2"/>
      <c r="X833" s="2"/>
    </row>
    <row r="834" ht="15.75" customHeight="1">
      <c r="R834" s="2"/>
      <c r="S834" s="2"/>
      <c r="T834" s="2"/>
      <c r="U834" s="2"/>
      <c r="V834" s="2"/>
      <c r="W834" s="2"/>
      <c r="X834" s="2"/>
    </row>
    <row r="835" ht="15.75" customHeight="1">
      <c r="R835" s="2"/>
      <c r="S835" s="2"/>
      <c r="T835" s="2"/>
      <c r="U835" s="2"/>
      <c r="V835" s="2"/>
      <c r="W835" s="2"/>
      <c r="X835" s="2"/>
    </row>
    <row r="836" ht="15.75" customHeight="1">
      <c r="R836" s="2"/>
      <c r="S836" s="2"/>
      <c r="T836" s="2"/>
      <c r="U836" s="2"/>
      <c r="V836" s="2"/>
      <c r="W836" s="2"/>
      <c r="X836" s="2"/>
    </row>
    <row r="837" ht="15.75" customHeight="1">
      <c r="R837" s="2"/>
      <c r="S837" s="2"/>
      <c r="T837" s="2"/>
      <c r="U837" s="2"/>
      <c r="V837" s="2"/>
      <c r="W837" s="2"/>
      <c r="X837" s="2"/>
    </row>
    <row r="838" ht="15.75" customHeight="1">
      <c r="R838" s="2"/>
      <c r="S838" s="2"/>
      <c r="T838" s="2"/>
      <c r="U838" s="2"/>
      <c r="V838" s="2"/>
      <c r="W838" s="2"/>
      <c r="X838" s="2"/>
    </row>
    <row r="839" ht="15.75" customHeight="1">
      <c r="R839" s="2"/>
      <c r="S839" s="2"/>
      <c r="T839" s="2"/>
      <c r="U839" s="2"/>
      <c r="V839" s="2"/>
      <c r="W839" s="2"/>
      <c r="X839" s="2"/>
    </row>
    <row r="840" ht="15.75" customHeight="1">
      <c r="R840" s="2"/>
      <c r="S840" s="2"/>
      <c r="T840" s="2"/>
      <c r="U840" s="2"/>
      <c r="V840" s="2"/>
      <c r="W840" s="2"/>
      <c r="X840" s="2"/>
    </row>
    <row r="841" ht="15.75" customHeight="1">
      <c r="R841" s="2"/>
      <c r="S841" s="2"/>
      <c r="T841" s="2"/>
      <c r="U841" s="2"/>
      <c r="V841" s="2"/>
      <c r="W841" s="2"/>
      <c r="X841" s="2"/>
    </row>
    <row r="842" ht="15.75" customHeight="1">
      <c r="R842" s="2"/>
      <c r="S842" s="2"/>
      <c r="T842" s="2"/>
      <c r="U842" s="2"/>
      <c r="V842" s="2"/>
      <c r="W842" s="2"/>
      <c r="X842" s="2"/>
    </row>
    <row r="843" ht="15.75" customHeight="1">
      <c r="R843" s="2"/>
      <c r="S843" s="2"/>
      <c r="T843" s="2"/>
      <c r="U843" s="2"/>
      <c r="V843" s="2"/>
      <c r="W843" s="2"/>
      <c r="X843" s="2"/>
    </row>
    <row r="844" ht="15.75" customHeight="1">
      <c r="R844" s="2"/>
      <c r="S844" s="2"/>
      <c r="T844" s="2"/>
      <c r="U844" s="2"/>
      <c r="V844" s="2"/>
      <c r="W844" s="2"/>
      <c r="X844" s="2"/>
    </row>
    <row r="845" ht="15.75" customHeight="1">
      <c r="R845" s="2"/>
      <c r="S845" s="2"/>
      <c r="T845" s="2"/>
      <c r="U845" s="2"/>
      <c r="V845" s="2"/>
      <c r="W845" s="2"/>
      <c r="X845" s="2"/>
    </row>
    <row r="846" ht="15.75" customHeight="1">
      <c r="R846" s="2"/>
      <c r="S846" s="2"/>
      <c r="T846" s="2"/>
      <c r="U846" s="2"/>
      <c r="V846" s="2"/>
      <c r="W846" s="2"/>
      <c r="X846" s="2"/>
    </row>
    <row r="847" ht="15.75" customHeight="1">
      <c r="R847" s="2"/>
      <c r="S847" s="2"/>
      <c r="T847" s="2"/>
      <c r="U847" s="2"/>
      <c r="V847" s="2"/>
      <c r="W847" s="2"/>
      <c r="X847" s="2"/>
    </row>
    <row r="848" ht="15.75" customHeight="1">
      <c r="R848" s="2"/>
      <c r="S848" s="2"/>
      <c r="T848" s="2"/>
      <c r="U848" s="2"/>
      <c r="V848" s="2"/>
      <c r="W848" s="2"/>
      <c r="X848" s="2"/>
    </row>
    <row r="849" ht="15.75" customHeight="1">
      <c r="R849" s="2"/>
      <c r="S849" s="2"/>
      <c r="T849" s="2"/>
      <c r="U849" s="2"/>
      <c r="V849" s="2"/>
      <c r="W849" s="2"/>
      <c r="X849" s="2"/>
    </row>
    <row r="850" ht="15.75" customHeight="1">
      <c r="R850" s="2"/>
      <c r="S850" s="2"/>
      <c r="T850" s="2"/>
      <c r="U850" s="2"/>
      <c r="V850" s="2"/>
      <c r="W850" s="2"/>
      <c r="X850" s="2"/>
    </row>
    <row r="851" ht="15.75" customHeight="1">
      <c r="R851" s="2"/>
      <c r="S851" s="2"/>
      <c r="T851" s="2"/>
      <c r="U851" s="2"/>
      <c r="V851" s="2"/>
      <c r="W851" s="2"/>
      <c r="X851" s="2"/>
    </row>
    <row r="852" ht="15.75" customHeight="1">
      <c r="R852" s="2"/>
      <c r="S852" s="2"/>
      <c r="T852" s="2"/>
      <c r="U852" s="2"/>
      <c r="V852" s="2"/>
      <c r="W852" s="2"/>
      <c r="X852" s="2"/>
    </row>
    <row r="853" ht="15.75" customHeight="1">
      <c r="R853" s="2"/>
      <c r="S853" s="2"/>
      <c r="T853" s="2"/>
      <c r="U853" s="2"/>
      <c r="V853" s="2"/>
      <c r="W853" s="2"/>
      <c r="X853" s="2"/>
    </row>
    <row r="854" ht="15.75" customHeight="1">
      <c r="R854" s="2"/>
      <c r="S854" s="2"/>
      <c r="T854" s="2"/>
      <c r="U854" s="2"/>
      <c r="V854" s="2"/>
      <c r="W854" s="2"/>
      <c r="X854" s="2"/>
    </row>
    <row r="855" ht="15.75" customHeight="1">
      <c r="R855" s="2"/>
      <c r="S855" s="2"/>
      <c r="T855" s="2"/>
      <c r="U855" s="2"/>
      <c r="V855" s="2"/>
      <c r="W855" s="2"/>
      <c r="X855" s="2"/>
    </row>
    <row r="856" ht="15.75" customHeight="1">
      <c r="R856" s="2"/>
      <c r="S856" s="2"/>
      <c r="T856" s="2"/>
      <c r="U856" s="2"/>
      <c r="V856" s="2"/>
      <c r="W856" s="2"/>
      <c r="X856" s="2"/>
    </row>
    <row r="857" ht="15.75" customHeight="1">
      <c r="R857" s="2"/>
      <c r="S857" s="2"/>
      <c r="T857" s="2"/>
      <c r="U857" s="2"/>
      <c r="V857" s="2"/>
      <c r="W857" s="2"/>
      <c r="X857" s="2"/>
    </row>
    <row r="858" ht="15.75" customHeight="1">
      <c r="R858" s="2"/>
      <c r="S858" s="2"/>
      <c r="T858" s="2"/>
      <c r="U858" s="2"/>
      <c r="V858" s="2"/>
      <c r="W858" s="2"/>
      <c r="X858" s="2"/>
    </row>
    <row r="859" ht="15.75" customHeight="1">
      <c r="R859" s="2"/>
      <c r="S859" s="2"/>
      <c r="T859" s="2"/>
      <c r="U859" s="2"/>
      <c r="V859" s="2"/>
      <c r="W859" s="2"/>
      <c r="X859" s="2"/>
    </row>
    <row r="860" ht="15.75" customHeight="1">
      <c r="R860" s="2"/>
      <c r="S860" s="2"/>
      <c r="T860" s="2"/>
      <c r="U860" s="2"/>
      <c r="V860" s="2"/>
      <c r="W860" s="2"/>
      <c r="X860" s="2"/>
    </row>
    <row r="861" ht="15.75" customHeight="1">
      <c r="R861" s="2"/>
      <c r="S861" s="2"/>
      <c r="T861" s="2"/>
      <c r="U861" s="2"/>
      <c r="V861" s="2"/>
      <c r="W861" s="2"/>
      <c r="X861" s="2"/>
    </row>
    <row r="862" ht="15.75" customHeight="1">
      <c r="R862" s="2"/>
      <c r="S862" s="2"/>
      <c r="T862" s="2"/>
      <c r="U862" s="2"/>
      <c r="V862" s="2"/>
      <c r="W862" s="2"/>
      <c r="X862" s="2"/>
    </row>
    <row r="863" ht="15.75" customHeight="1">
      <c r="R863" s="2"/>
      <c r="S863" s="2"/>
      <c r="T863" s="2"/>
      <c r="U863" s="2"/>
      <c r="V863" s="2"/>
      <c r="W863" s="2"/>
      <c r="X863" s="2"/>
    </row>
    <row r="864" ht="15.75" customHeight="1">
      <c r="R864" s="2"/>
      <c r="S864" s="2"/>
      <c r="T864" s="2"/>
      <c r="U864" s="2"/>
      <c r="V864" s="2"/>
      <c r="W864" s="2"/>
      <c r="X864" s="2"/>
    </row>
    <row r="865" ht="15.75" customHeight="1">
      <c r="R865" s="2"/>
      <c r="S865" s="2"/>
      <c r="T865" s="2"/>
      <c r="U865" s="2"/>
      <c r="V865" s="2"/>
      <c r="W865" s="2"/>
      <c r="X865" s="2"/>
    </row>
    <row r="866" ht="15.75" customHeight="1">
      <c r="R866" s="2"/>
      <c r="S866" s="2"/>
      <c r="T866" s="2"/>
      <c r="U866" s="2"/>
      <c r="V866" s="2"/>
      <c r="W866" s="2"/>
      <c r="X866" s="2"/>
    </row>
    <row r="867" ht="15.75" customHeight="1">
      <c r="R867" s="2"/>
      <c r="S867" s="2"/>
      <c r="T867" s="2"/>
      <c r="U867" s="2"/>
      <c r="V867" s="2"/>
      <c r="W867" s="2"/>
      <c r="X867" s="2"/>
    </row>
    <row r="868" ht="15.75" customHeight="1">
      <c r="R868" s="2"/>
      <c r="S868" s="2"/>
      <c r="T868" s="2"/>
      <c r="U868" s="2"/>
      <c r="V868" s="2"/>
      <c r="W868" s="2"/>
      <c r="X868" s="2"/>
    </row>
    <row r="869" ht="15.75" customHeight="1">
      <c r="R869" s="2"/>
      <c r="S869" s="2"/>
      <c r="T869" s="2"/>
      <c r="U869" s="2"/>
      <c r="V869" s="2"/>
      <c r="W869" s="2"/>
      <c r="X869" s="2"/>
    </row>
    <row r="870" ht="15.75" customHeight="1">
      <c r="R870" s="2"/>
      <c r="S870" s="2"/>
      <c r="T870" s="2"/>
      <c r="U870" s="2"/>
      <c r="V870" s="2"/>
      <c r="W870" s="2"/>
      <c r="X870" s="2"/>
    </row>
    <row r="871" ht="15.75" customHeight="1">
      <c r="R871" s="2"/>
      <c r="S871" s="2"/>
      <c r="T871" s="2"/>
      <c r="U871" s="2"/>
      <c r="V871" s="2"/>
      <c r="W871" s="2"/>
      <c r="X871" s="2"/>
    </row>
    <row r="872" ht="15.75" customHeight="1">
      <c r="R872" s="2"/>
      <c r="S872" s="2"/>
      <c r="T872" s="2"/>
      <c r="U872" s="2"/>
      <c r="V872" s="2"/>
      <c r="W872" s="2"/>
      <c r="X872" s="2"/>
    </row>
    <row r="873" ht="15.75" customHeight="1">
      <c r="R873" s="2"/>
      <c r="S873" s="2"/>
      <c r="T873" s="2"/>
      <c r="U873" s="2"/>
      <c r="V873" s="2"/>
      <c r="W873" s="2"/>
      <c r="X873" s="2"/>
    </row>
    <row r="874" ht="15.75" customHeight="1">
      <c r="R874" s="2"/>
      <c r="S874" s="2"/>
      <c r="T874" s="2"/>
      <c r="U874" s="2"/>
      <c r="V874" s="2"/>
      <c r="W874" s="2"/>
      <c r="X874" s="2"/>
    </row>
    <row r="875" ht="15.75" customHeight="1">
      <c r="R875" s="2"/>
      <c r="S875" s="2"/>
      <c r="T875" s="2"/>
      <c r="U875" s="2"/>
      <c r="V875" s="2"/>
      <c r="W875" s="2"/>
      <c r="X875" s="2"/>
    </row>
    <row r="876" ht="15.75" customHeight="1">
      <c r="R876" s="2"/>
      <c r="S876" s="2"/>
      <c r="T876" s="2"/>
      <c r="U876" s="2"/>
      <c r="V876" s="2"/>
      <c r="W876" s="2"/>
      <c r="X876" s="2"/>
    </row>
    <row r="877" ht="15.75" customHeight="1">
      <c r="R877" s="2"/>
      <c r="S877" s="2"/>
      <c r="T877" s="2"/>
      <c r="U877" s="2"/>
      <c r="V877" s="2"/>
      <c r="W877" s="2"/>
      <c r="X877" s="2"/>
    </row>
    <row r="878" ht="15.75" customHeight="1">
      <c r="R878" s="2"/>
      <c r="S878" s="2"/>
      <c r="T878" s="2"/>
      <c r="U878" s="2"/>
      <c r="V878" s="2"/>
      <c r="W878" s="2"/>
      <c r="X878" s="2"/>
    </row>
    <row r="879" ht="15.75" customHeight="1">
      <c r="R879" s="2"/>
      <c r="S879" s="2"/>
      <c r="T879" s="2"/>
      <c r="U879" s="2"/>
      <c r="V879" s="2"/>
      <c r="W879" s="2"/>
      <c r="X879" s="2"/>
    </row>
    <row r="880" ht="15.75" customHeight="1">
      <c r="R880" s="2"/>
      <c r="S880" s="2"/>
      <c r="T880" s="2"/>
      <c r="U880" s="2"/>
      <c r="V880" s="2"/>
      <c r="W880" s="2"/>
      <c r="X880" s="2"/>
    </row>
    <row r="881" ht="15.75" customHeight="1">
      <c r="R881" s="2"/>
      <c r="S881" s="2"/>
      <c r="T881" s="2"/>
      <c r="U881" s="2"/>
      <c r="V881" s="2"/>
      <c r="W881" s="2"/>
      <c r="X881" s="2"/>
    </row>
    <row r="882" ht="15.75" customHeight="1">
      <c r="R882" s="2"/>
      <c r="S882" s="2"/>
      <c r="T882" s="2"/>
      <c r="U882" s="2"/>
      <c r="V882" s="2"/>
      <c r="W882" s="2"/>
      <c r="X882" s="2"/>
    </row>
    <row r="883" ht="15.75" customHeight="1">
      <c r="R883" s="2"/>
      <c r="S883" s="2"/>
      <c r="T883" s="2"/>
      <c r="U883" s="2"/>
      <c r="V883" s="2"/>
      <c r="W883" s="2"/>
      <c r="X883" s="2"/>
    </row>
    <row r="884" ht="15.75" customHeight="1">
      <c r="R884" s="2"/>
      <c r="S884" s="2"/>
      <c r="T884" s="2"/>
      <c r="U884" s="2"/>
      <c r="V884" s="2"/>
      <c r="W884" s="2"/>
      <c r="X884" s="2"/>
    </row>
    <row r="885" ht="15.75" customHeight="1">
      <c r="R885" s="2"/>
      <c r="S885" s="2"/>
      <c r="T885" s="2"/>
      <c r="U885" s="2"/>
      <c r="V885" s="2"/>
      <c r="W885" s="2"/>
      <c r="X885" s="2"/>
    </row>
    <row r="886" ht="15.75" customHeight="1">
      <c r="R886" s="2"/>
      <c r="S886" s="2"/>
      <c r="T886" s="2"/>
      <c r="U886" s="2"/>
      <c r="V886" s="2"/>
      <c r="W886" s="2"/>
      <c r="X886" s="2"/>
    </row>
    <row r="887" ht="15.75" customHeight="1">
      <c r="R887" s="2"/>
      <c r="S887" s="2"/>
      <c r="T887" s="2"/>
      <c r="U887" s="2"/>
      <c r="V887" s="2"/>
      <c r="W887" s="2"/>
      <c r="X887" s="2"/>
    </row>
    <row r="888" ht="15.75" customHeight="1">
      <c r="R888" s="2"/>
      <c r="S888" s="2"/>
      <c r="T888" s="2"/>
      <c r="U888" s="2"/>
      <c r="V888" s="2"/>
      <c r="W888" s="2"/>
      <c r="X888" s="2"/>
    </row>
    <row r="889" ht="15.75" customHeight="1">
      <c r="R889" s="2"/>
      <c r="S889" s="2"/>
      <c r="T889" s="2"/>
      <c r="U889" s="2"/>
      <c r="V889" s="2"/>
      <c r="W889" s="2"/>
      <c r="X889" s="2"/>
    </row>
    <row r="890" ht="15.75" customHeight="1">
      <c r="R890" s="2"/>
      <c r="S890" s="2"/>
      <c r="T890" s="2"/>
      <c r="U890" s="2"/>
      <c r="V890" s="2"/>
      <c r="W890" s="2"/>
      <c r="X890" s="2"/>
    </row>
    <row r="891" ht="15.75" customHeight="1">
      <c r="R891" s="2"/>
      <c r="S891" s="2"/>
      <c r="T891" s="2"/>
      <c r="U891" s="2"/>
      <c r="V891" s="2"/>
      <c r="W891" s="2"/>
      <c r="X891" s="2"/>
    </row>
    <row r="892" ht="15.75" customHeight="1">
      <c r="R892" s="2"/>
      <c r="S892" s="2"/>
      <c r="T892" s="2"/>
      <c r="U892" s="2"/>
      <c r="V892" s="2"/>
      <c r="W892" s="2"/>
      <c r="X892" s="2"/>
    </row>
    <row r="893" ht="15.75" customHeight="1">
      <c r="R893" s="2"/>
      <c r="S893" s="2"/>
      <c r="T893" s="2"/>
      <c r="U893" s="2"/>
      <c r="V893" s="2"/>
      <c r="W893" s="2"/>
      <c r="X893" s="2"/>
    </row>
    <row r="894" ht="15.75" customHeight="1">
      <c r="R894" s="2"/>
      <c r="S894" s="2"/>
      <c r="T894" s="2"/>
      <c r="U894" s="2"/>
      <c r="V894" s="2"/>
      <c r="W894" s="2"/>
      <c r="X894" s="2"/>
    </row>
    <row r="895" ht="15.75" customHeight="1">
      <c r="R895" s="2"/>
      <c r="S895" s="2"/>
      <c r="T895" s="2"/>
      <c r="U895" s="2"/>
      <c r="V895" s="2"/>
      <c r="W895" s="2"/>
      <c r="X895" s="2"/>
    </row>
    <row r="896" ht="15.75" customHeight="1">
      <c r="R896" s="2"/>
      <c r="S896" s="2"/>
      <c r="T896" s="2"/>
      <c r="U896" s="2"/>
      <c r="V896" s="2"/>
      <c r="W896" s="2"/>
      <c r="X896" s="2"/>
    </row>
    <row r="897" ht="15.75" customHeight="1">
      <c r="R897" s="2"/>
      <c r="S897" s="2"/>
      <c r="T897" s="2"/>
      <c r="U897" s="2"/>
      <c r="V897" s="2"/>
      <c r="W897" s="2"/>
      <c r="X897" s="2"/>
    </row>
    <row r="898" ht="15.75" customHeight="1">
      <c r="R898" s="2"/>
      <c r="S898" s="2"/>
      <c r="T898" s="2"/>
      <c r="U898" s="2"/>
      <c r="V898" s="2"/>
      <c r="W898" s="2"/>
      <c r="X898" s="2"/>
    </row>
    <row r="899" ht="15.75" customHeight="1">
      <c r="R899" s="2"/>
      <c r="S899" s="2"/>
      <c r="T899" s="2"/>
      <c r="U899" s="2"/>
      <c r="V899" s="2"/>
      <c r="W899" s="2"/>
      <c r="X899" s="2"/>
    </row>
    <row r="900" ht="15.75" customHeight="1">
      <c r="R900" s="2"/>
      <c r="S900" s="2"/>
      <c r="T900" s="2"/>
      <c r="U900" s="2"/>
      <c r="V900" s="2"/>
      <c r="W900" s="2"/>
      <c r="X900" s="2"/>
    </row>
    <row r="901" ht="15.75" customHeight="1">
      <c r="R901" s="2"/>
      <c r="S901" s="2"/>
      <c r="T901" s="2"/>
      <c r="U901" s="2"/>
      <c r="V901" s="2"/>
      <c r="W901" s="2"/>
      <c r="X901" s="2"/>
    </row>
    <row r="902" ht="15.75" customHeight="1">
      <c r="R902" s="2"/>
      <c r="S902" s="2"/>
      <c r="T902" s="2"/>
      <c r="U902" s="2"/>
      <c r="V902" s="2"/>
      <c r="W902" s="2"/>
      <c r="X902" s="2"/>
    </row>
    <row r="903" ht="15.75" customHeight="1">
      <c r="R903" s="2"/>
      <c r="S903" s="2"/>
      <c r="T903" s="2"/>
      <c r="U903" s="2"/>
      <c r="V903" s="2"/>
      <c r="W903" s="2"/>
      <c r="X903" s="2"/>
    </row>
    <row r="904" ht="15.75" customHeight="1">
      <c r="R904" s="2"/>
      <c r="S904" s="2"/>
      <c r="T904" s="2"/>
      <c r="U904" s="2"/>
      <c r="V904" s="2"/>
      <c r="W904" s="2"/>
      <c r="X904" s="2"/>
    </row>
    <row r="905" ht="15.75" customHeight="1">
      <c r="R905" s="2"/>
      <c r="S905" s="2"/>
      <c r="T905" s="2"/>
      <c r="U905" s="2"/>
      <c r="V905" s="2"/>
      <c r="W905" s="2"/>
      <c r="X905" s="2"/>
    </row>
    <row r="906" ht="15.75" customHeight="1">
      <c r="R906" s="2"/>
      <c r="S906" s="2"/>
      <c r="T906" s="2"/>
      <c r="U906" s="2"/>
      <c r="V906" s="2"/>
      <c r="W906" s="2"/>
      <c r="X906" s="2"/>
    </row>
    <row r="907" ht="15.75" customHeight="1">
      <c r="R907" s="2"/>
      <c r="S907" s="2"/>
      <c r="T907" s="2"/>
      <c r="U907" s="2"/>
      <c r="V907" s="2"/>
      <c r="W907" s="2"/>
      <c r="X907" s="2"/>
    </row>
    <row r="908" ht="15.75" customHeight="1">
      <c r="R908" s="2"/>
      <c r="S908" s="2"/>
      <c r="T908" s="2"/>
      <c r="U908" s="2"/>
      <c r="V908" s="2"/>
      <c r="W908" s="2"/>
      <c r="X908" s="2"/>
    </row>
    <row r="909" ht="15.75" customHeight="1">
      <c r="R909" s="2"/>
      <c r="S909" s="2"/>
      <c r="T909" s="2"/>
      <c r="U909" s="2"/>
      <c r="V909" s="2"/>
      <c r="W909" s="2"/>
      <c r="X909" s="2"/>
    </row>
    <row r="910" ht="15.75" customHeight="1">
      <c r="R910" s="2"/>
      <c r="S910" s="2"/>
      <c r="T910" s="2"/>
      <c r="U910" s="2"/>
      <c r="V910" s="2"/>
      <c r="W910" s="2"/>
      <c r="X910" s="2"/>
    </row>
    <row r="911" ht="15.75" customHeight="1">
      <c r="R911" s="2"/>
      <c r="S911" s="2"/>
      <c r="T911" s="2"/>
      <c r="U911" s="2"/>
      <c r="V911" s="2"/>
      <c r="W911" s="2"/>
      <c r="X911" s="2"/>
    </row>
    <row r="912" ht="15.75" customHeight="1">
      <c r="R912" s="2"/>
      <c r="S912" s="2"/>
      <c r="T912" s="2"/>
      <c r="U912" s="2"/>
      <c r="V912" s="2"/>
      <c r="W912" s="2"/>
      <c r="X912" s="2"/>
    </row>
    <row r="913" ht="15.75" customHeight="1">
      <c r="R913" s="2"/>
      <c r="S913" s="2"/>
      <c r="T913" s="2"/>
      <c r="U913" s="2"/>
      <c r="V913" s="2"/>
      <c r="W913" s="2"/>
      <c r="X913" s="2"/>
    </row>
    <row r="914" ht="15.75" customHeight="1">
      <c r="R914" s="2"/>
      <c r="S914" s="2"/>
      <c r="T914" s="2"/>
      <c r="U914" s="2"/>
      <c r="V914" s="2"/>
      <c r="W914" s="2"/>
      <c r="X914" s="2"/>
    </row>
    <row r="915" ht="15.75" customHeight="1">
      <c r="R915" s="2"/>
      <c r="S915" s="2"/>
      <c r="T915" s="2"/>
      <c r="U915" s="2"/>
      <c r="V915" s="2"/>
      <c r="W915" s="2"/>
      <c r="X915" s="2"/>
    </row>
    <row r="916" ht="15.75" customHeight="1">
      <c r="R916" s="2"/>
      <c r="S916" s="2"/>
      <c r="T916" s="2"/>
      <c r="U916" s="2"/>
      <c r="V916" s="2"/>
      <c r="W916" s="2"/>
      <c r="X916" s="2"/>
    </row>
    <row r="917" ht="15.75" customHeight="1">
      <c r="R917" s="2"/>
      <c r="S917" s="2"/>
      <c r="T917" s="2"/>
      <c r="U917" s="2"/>
      <c r="V917" s="2"/>
      <c r="W917" s="2"/>
      <c r="X917" s="2"/>
    </row>
    <row r="918" ht="15.75" customHeight="1">
      <c r="R918" s="2"/>
      <c r="S918" s="2"/>
      <c r="T918" s="2"/>
      <c r="U918" s="2"/>
      <c r="V918" s="2"/>
      <c r="W918" s="2"/>
      <c r="X918" s="2"/>
    </row>
    <row r="919" ht="15.75" customHeight="1">
      <c r="R919" s="2"/>
      <c r="S919" s="2"/>
      <c r="T919" s="2"/>
      <c r="U919" s="2"/>
      <c r="V919" s="2"/>
      <c r="W919" s="2"/>
      <c r="X919" s="2"/>
    </row>
    <row r="920" ht="15.75" customHeight="1">
      <c r="R920" s="2"/>
      <c r="S920" s="2"/>
      <c r="T920" s="2"/>
      <c r="U920" s="2"/>
      <c r="V920" s="2"/>
      <c r="W920" s="2"/>
      <c r="X920" s="2"/>
    </row>
    <row r="921" ht="15.75" customHeight="1">
      <c r="R921" s="2"/>
      <c r="S921" s="2"/>
      <c r="T921" s="2"/>
      <c r="U921" s="2"/>
      <c r="V921" s="2"/>
      <c r="W921" s="2"/>
      <c r="X921" s="2"/>
    </row>
    <row r="922" ht="15.75" customHeight="1">
      <c r="R922" s="2"/>
      <c r="S922" s="2"/>
      <c r="T922" s="2"/>
      <c r="U922" s="2"/>
      <c r="V922" s="2"/>
      <c r="W922" s="2"/>
      <c r="X922" s="2"/>
    </row>
    <row r="923" ht="15.75" customHeight="1">
      <c r="R923" s="2"/>
      <c r="S923" s="2"/>
      <c r="T923" s="2"/>
      <c r="U923" s="2"/>
      <c r="V923" s="2"/>
      <c r="W923" s="2"/>
      <c r="X923" s="2"/>
    </row>
    <row r="924" ht="15.75" customHeight="1">
      <c r="R924" s="2"/>
      <c r="S924" s="2"/>
      <c r="T924" s="2"/>
      <c r="U924" s="2"/>
      <c r="V924" s="2"/>
      <c r="W924" s="2"/>
      <c r="X924" s="2"/>
    </row>
    <row r="925" ht="15.75" customHeight="1">
      <c r="R925" s="2"/>
      <c r="S925" s="2"/>
      <c r="T925" s="2"/>
      <c r="U925" s="2"/>
      <c r="V925" s="2"/>
      <c r="W925" s="2"/>
      <c r="X925" s="2"/>
    </row>
    <row r="926" ht="15.75" customHeight="1">
      <c r="R926" s="2"/>
      <c r="S926" s="2"/>
      <c r="T926" s="2"/>
      <c r="U926" s="2"/>
      <c r="V926" s="2"/>
      <c r="W926" s="2"/>
      <c r="X926" s="2"/>
    </row>
    <row r="927" ht="15.75" customHeight="1">
      <c r="R927" s="2"/>
      <c r="S927" s="2"/>
      <c r="T927" s="2"/>
      <c r="U927" s="2"/>
      <c r="V927" s="2"/>
      <c r="W927" s="2"/>
      <c r="X927" s="2"/>
    </row>
    <row r="928" ht="15.75" customHeight="1">
      <c r="R928" s="2"/>
      <c r="S928" s="2"/>
      <c r="T928" s="2"/>
      <c r="U928" s="2"/>
      <c r="V928" s="2"/>
      <c r="W928" s="2"/>
      <c r="X928" s="2"/>
    </row>
    <row r="929" ht="15.75" customHeight="1">
      <c r="R929" s="2"/>
      <c r="S929" s="2"/>
      <c r="T929" s="2"/>
      <c r="U929" s="2"/>
      <c r="V929" s="2"/>
      <c r="W929" s="2"/>
      <c r="X929" s="2"/>
    </row>
    <row r="930" ht="15.75" customHeight="1">
      <c r="R930" s="2"/>
      <c r="S930" s="2"/>
      <c r="T930" s="2"/>
      <c r="U930" s="2"/>
      <c r="V930" s="2"/>
      <c r="W930" s="2"/>
      <c r="X930" s="2"/>
    </row>
    <row r="931" ht="15.75" customHeight="1">
      <c r="R931" s="2"/>
      <c r="S931" s="2"/>
      <c r="T931" s="2"/>
      <c r="U931" s="2"/>
      <c r="V931" s="2"/>
      <c r="W931" s="2"/>
      <c r="X931" s="2"/>
    </row>
    <row r="932" ht="15.75" customHeight="1">
      <c r="R932" s="2"/>
      <c r="S932" s="2"/>
      <c r="T932" s="2"/>
      <c r="U932" s="2"/>
      <c r="V932" s="2"/>
      <c r="W932" s="2"/>
      <c r="X932" s="2"/>
    </row>
    <row r="933" ht="15.75" customHeight="1">
      <c r="R933" s="2"/>
      <c r="S933" s="2"/>
      <c r="T933" s="2"/>
      <c r="U933" s="2"/>
      <c r="V933" s="2"/>
      <c r="W933" s="2"/>
      <c r="X933" s="2"/>
    </row>
    <row r="934" ht="15.75" customHeight="1">
      <c r="R934" s="2"/>
      <c r="S934" s="2"/>
      <c r="T934" s="2"/>
      <c r="U934" s="2"/>
      <c r="V934" s="2"/>
      <c r="W934" s="2"/>
      <c r="X934" s="2"/>
    </row>
    <row r="935" ht="15.75" customHeight="1">
      <c r="R935" s="2"/>
      <c r="S935" s="2"/>
      <c r="T935" s="2"/>
      <c r="U935" s="2"/>
      <c r="V935" s="2"/>
      <c r="W935" s="2"/>
      <c r="X935" s="2"/>
    </row>
    <row r="936" ht="15.75" customHeight="1">
      <c r="R936" s="2"/>
      <c r="S936" s="2"/>
      <c r="T936" s="2"/>
      <c r="U936" s="2"/>
      <c r="V936" s="2"/>
      <c r="W936" s="2"/>
      <c r="X936" s="2"/>
    </row>
    <row r="937" ht="15.75" customHeight="1">
      <c r="R937" s="2"/>
      <c r="S937" s="2"/>
      <c r="T937" s="2"/>
      <c r="U937" s="2"/>
      <c r="V937" s="2"/>
      <c r="W937" s="2"/>
      <c r="X937" s="2"/>
    </row>
    <row r="938" ht="15.75" customHeight="1">
      <c r="R938" s="2"/>
      <c r="S938" s="2"/>
      <c r="T938" s="2"/>
      <c r="U938" s="2"/>
      <c r="V938" s="2"/>
      <c r="W938" s="2"/>
      <c r="X938" s="2"/>
    </row>
    <row r="939" ht="15.75" customHeight="1">
      <c r="R939" s="2"/>
      <c r="S939" s="2"/>
      <c r="T939" s="2"/>
      <c r="U939" s="2"/>
      <c r="V939" s="2"/>
      <c r="W939" s="2"/>
      <c r="X939" s="2"/>
    </row>
    <row r="940" ht="15.75" customHeight="1">
      <c r="R940" s="2"/>
      <c r="S940" s="2"/>
      <c r="T940" s="2"/>
      <c r="U940" s="2"/>
      <c r="V940" s="2"/>
      <c r="W940" s="2"/>
      <c r="X940" s="2"/>
    </row>
    <row r="941" ht="15.75" customHeight="1">
      <c r="R941" s="2"/>
      <c r="S941" s="2"/>
      <c r="T941" s="2"/>
      <c r="U941" s="2"/>
      <c r="V941" s="2"/>
      <c r="W941" s="2"/>
      <c r="X941" s="2"/>
    </row>
    <row r="942" ht="15.75" customHeight="1">
      <c r="R942" s="2"/>
      <c r="S942" s="2"/>
      <c r="T942" s="2"/>
      <c r="U942" s="2"/>
      <c r="V942" s="2"/>
      <c r="W942" s="2"/>
      <c r="X942" s="2"/>
    </row>
    <row r="943" ht="15.75" customHeight="1">
      <c r="R943" s="2"/>
      <c r="S943" s="2"/>
      <c r="T943" s="2"/>
      <c r="U943" s="2"/>
      <c r="V943" s="2"/>
      <c r="W943" s="2"/>
      <c r="X943" s="2"/>
    </row>
    <row r="944" ht="15.75" customHeight="1">
      <c r="R944" s="2"/>
      <c r="S944" s="2"/>
      <c r="T944" s="2"/>
      <c r="U944" s="2"/>
      <c r="V944" s="2"/>
      <c r="W944" s="2"/>
      <c r="X944" s="2"/>
    </row>
    <row r="945" ht="15.75" customHeight="1">
      <c r="R945" s="2"/>
      <c r="S945" s="2"/>
      <c r="T945" s="2"/>
      <c r="U945" s="2"/>
      <c r="V945" s="2"/>
      <c r="W945" s="2"/>
      <c r="X945" s="2"/>
    </row>
    <row r="946" ht="15.75" customHeight="1">
      <c r="R946" s="2"/>
      <c r="S946" s="2"/>
      <c r="T946" s="2"/>
      <c r="U946" s="2"/>
      <c r="V946" s="2"/>
      <c r="W946" s="2"/>
      <c r="X946" s="2"/>
    </row>
    <row r="947" ht="15.75" customHeight="1">
      <c r="R947" s="2"/>
      <c r="S947" s="2"/>
      <c r="T947" s="2"/>
      <c r="U947" s="2"/>
      <c r="V947" s="2"/>
      <c r="W947" s="2"/>
      <c r="X947" s="2"/>
    </row>
    <row r="948" ht="15.75" customHeight="1">
      <c r="R948" s="2"/>
      <c r="S948" s="2"/>
      <c r="T948" s="2"/>
      <c r="U948" s="2"/>
      <c r="V948" s="2"/>
      <c r="W948" s="2"/>
      <c r="X948" s="2"/>
    </row>
    <row r="949" ht="15.75" customHeight="1">
      <c r="R949" s="2"/>
      <c r="S949" s="2"/>
      <c r="T949" s="2"/>
      <c r="U949" s="2"/>
      <c r="V949" s="2"/>
      <c r="W949" s="2"/>
      <c r="X949" s="2"/>
    </row>
    <row r="950" ht="15.75" customHeight="1">
      <c r="R950" s="2"/>
      <c r="S950" s="2"/>
      <c r="T950" s="2"/>
      <c r="U950" s="2"/>
      <c r="V950" s="2"/>
      <c r="W950" s="2"/>
      <c r="X950" s="2"/>
    </row>
    <row r="951" ht="15.75" customHeight="1">
      <c r="R951" s="2"/>
      <c r="S951" s="2"/>
      <c r="T951" s="2"/>
      <c r="U951" s="2"/>
      <c r="V951" s="2"/>
      <c r="W951" s="2"/>
      <c r="X951" s="2"/>
    </row>
    <row r="952" ht="15.75" customHeight="1">
      <c r="R952" s="2"/>
      <c r="S952" s="2"/>
      <c r="T952" s="2"/>
      <c r="U952" s="2"/>
      <c r="V952" s="2"/>
      <c r="W952" s="2"/>
      <c r="X952" s="2"/>
    </row>
    <row r="953" ht="15.75" customHeight="1">
      <c r="R953" s="2"/>
      <c r="S953" s="2"/>
      <c r="T953" s="2"/>
      <c r="U953" s="2"/>
      <c r="V953" s="2"/>
      <c r="W953" s="2"/>
      <c r="X953" s="2"/>
    </row>
    <row r="954" ht="15.75" customHeight="1">
      <c r="R954" s="2"/>
      <c r="S954" s="2"/>
      <c r="T954" s="2"/>
      <c r="U954" s="2"/>
      <c r="V954" s="2"/>
      <c r="W954" s="2"/>
      <c r="X954" s="2"/>
    </row>
    <row r="955" ht="15.75" customHeight="1">
      <c r="R955" s="2"/>
      <c r="S955" s="2"/>
      <c r="T955" s="2"/>
      <c r="U955" s="2"/>
      <c r="V955" s="2"/>
      <c r="W955" s="2"/>
      <c r="X955" s="2"/>
    </row>
    <row r="956" ht="15.75" customHeight="1">
      <c r="R956" s="2"/>
      <c r="S956" s="2"/>
      <c r="T956" s="2"/>
      <c r="U956" s="2"/>
      <c r="V956" s="2"/>
      <c r="W956" s="2"/>
      <c r="X956" s="2"/>
    </row>
    <row r="957" ht="15.75" customHeight="1">
      <c r="R957" s="2"/>
      <c r="S957" s="2"/>
      <c r="T957" s="2"/>
      <c r="U957" s="2"/>
      <c r="V957" s="2"/>
      <c r="W957" s="2"/>
      <c r="X957" s="2"/>
    </row>
    <row r="958" ht="15.75" customHeight="1">
      <c r="R958" s="2"/>
      <c r="S958" s="2"/>
      <c r="T958" s="2"/>
      <c r="U958" s="2"/>
      <c r="V958" s="2"/>
      <c r="W958" s="2"/>
      <c r="X958" s="2"/>
    </row>
    <row r="959" ht="15.75" customHeight="1">
      <c r="R959" s="2"/>
      <c r="S959" s="2"/>
      <c r="T959" s="2"/>
      <c r="U959" s="2"/>
      <c r="V959" s="2"/>
      <c r="W959" s="2"/>
      <c r="X959" s="2"/>
    </row>
    <row r="960" ht="15.75" customHeight="1">
      <c r="R960" s="2"/>
      <c r="S960" s="2"/>
      <c r="T960" s="2"/>
      <c r="U960" s="2"/>
      <c r="V960" s="2"/>
      <c r="W960" s="2"/>
      <c r="X960" s="2"/>
    </row>
    <row r="961" ht="15.75" customHeight="1">
      <c r="R961" s="2"/>
      <c r="S961" s="2"/>
      <c r="T961" s="2"/>
      <c r="U961" s="2"/>
      <c r="V961" s="2"/>
      <c r="W961" s="2"/>
      <c r="X961" s="2"/>
    </row>
    <row r="962" ht="15.75" customHeight="1">
      <c r="R962" s="2"/>
      <c r="S962" s="2"/>
      <c r="T962" s="2"/>
      <c r="U962" s="2"/>
      <c r="V962" s="2"/>
      <c r="W962" s="2"/>
      <c r="X962" s="2"/>
    </row>
    <row r="963" ht="15.75" customHeight="1">
      <c r="R963" s="2"/>
      <c r="S963" s="2"/>
      <c r="T963" s="2"/>
      <c r="U963" s="2"/>
      <c r="V963" s="2"/>
      <c r="W963" s="2"/>
      <c r="X963" s="2"/>
    </row>
    <row r="964" ht="15.75" customHeight="1">
      <c r="R964" s="2"/>
      <c r="S964" s="2"/>
      <c r="T964" s="2"/>
      <c r="U964" s="2"/>
      <c r="V964" s="2"/>
      <c r="W964" s="2"/>
      <c r="X964" s="2"/>
    </row>
    <row r="965" ht="15.75" customHeight="1">
      <c r="R965" s="2"/>
      <c r="S965" s="2"/>
      <c r="T965" s="2"/>
      <c r="U965" s="2"/>
      <c r="V965" s="2"/>
      <c r="W965" s="2"/>
      <c r="X965" s="2"/>
    </row>
    <row r="966" ht="15.75" customHeight="1">
      <c r="R966" s="2"/>
      <c r="S966" s="2"/>
      <c r="T966" s="2"/>
      <c r="U966" s="2"/>
      <c r="V966" s="2"/>
      <c r="W966" s="2"/>
      <c r="X966" s="2"/>
    </row>
    <row r="967" ht="15.75" customHeight="1">
      <c r="R967" s="2"/>
      <c r="S967" s="2"/>
      <c r="T967" s="2"/>
      <c r="U967" s="2"/>
      <c r="V967" s="2"/>
      <c r="W967" s="2"/>
      <c r="X967" s="2"/>
    </row>
    <row r="968" ht="15.75" customHeight="1">
      <c r="R968" s="2"/>
      <c r="S968" s="2"/>
      <c r="T968" s="2"/>
      <c r="U968" s="2"/>
      <c r="V968" s="2"/>
      <c r="W968" s="2"/>
      <c r="X968" s="2"/>
    </row>
    <row r="969" ht="15.75" customHeight="1">
      <c r="R969" s="2"/>
      <c r="S969" s="2"/>
      <c r="T969" s="2"/>
      <c r="U969" s="2"/>
      <c r="V969" s="2"/>
      <c r="W969" s="2"/>
      <c r="X969" s="2"/>
    </row>
    <row r="970" ht="15.75" customHeight="1">
      <c r="R970" s="2"/>
      <c r="S970" s="2"/>
      <c r="T970" s="2"/>
      <c r="U970" s="2"/>
      <c r="V970" s="2"/>
      <c r="W970" s="2"/>
      <c r="X970" s="2"/>
    </row>
    <row r="971" ht="15.75" customHeight="1">
      <c r="R971" s="2"/>
      <c r="S971" s="2"/>
      <c r="T971" s="2"/>
      <c r="U971" s="2"/>
      <c r="V971" s="2"/>
      <c r="W971" s="2"/>
      <c r="X971" s="2"/>
    </row>
    <row r="972" ht="15.75" customHeight="1">
      <c r="R972" s="2"/>
      <c r="S972" s="2"/>
      <c r="T972" s="2"/>
      <c r="U972" s="2"/>
      <c r="V972" s="2"/>
      <c r="W972" s="2"/>
      <c r="X972" s="2"/>
    </row>
    <row r="973" ht="15.75" customHeight="1">
      <c r="R973" s="2"/>
      <c r="S973" s="2"/>
      <c r="T973" s="2"/>
      <c r="U973" s="2"/>
      <c r="V973" s="2"/>
      <c r="W973" s="2"/>
      <c r="X973" s="2"/>
    </row>
    <row r="974" ht="15.75" customHeight="1">
      <c r="R974" s="2"/>
      <c r="S974" s="2"/>
      <c r="T974" s="2"/>
      <c r="U974" s="2"/>
      <c r="V974" s="2"/>
      <c r="W974" s="2"/>
      <c r="X974" s="2"/>
    </row>
    <row r="975" ht="15.75" customHeight="1">
      <c r="R975" s="2"/>
      <c r="S975" s="2"/>
      <c r="T975" s="2"/>
      <c r="U975" s="2"/>
      <c r="V975" s="2"/>
      <c r="W975" s="2"/>
      <c r="X975" s="2"/>
    </row>
    <row r="976" ht="15.75" customHeight="1">
      <c r="R976" s="2"/>
      <c r="S976" s="2"/>
      <c r="T976" s="2"/>
      <c r="U976" s="2"/>
      <c r="V976" s="2"/>
      <c r="W976" s="2"/>
      <c r="X976" s="2"/>
    </row>
    <row r="977" ht="15.75" customHeight="1">
      <c r="R977" s="2"/>
      <c r="S977" s="2"/>
      <c r="T977" s="2"/>
      <c r="U977" s="2"/>
      <c r="V977" s="2"/>
      <c r="W977" s="2"/>
      <c r="X977" s="2"/>
    </row>
    <row r="978" ht="15.75" customHeight="1">
      <c r="R978" s="2"/>
      <c r="S978" s="2"/>
      <c r="T978" s="2"/>
      <c r="U978" s="2"/>
      <c r="V978" s="2"/>
      <c r="W978" s="2"/>
      <c r="X978" s="2"/>
    </row>
    <row r="979" ht="15.75" customHeight="1">
      <c r="R979" s="2"/>
      <c r="S979" s="2"/>
      <c r="T979" s="2"/>
      <c r="U979" s="2"/>
      <c r="V979" s="2"/>
      <c r="W979" s="2"/>
      <c r="X979" s="2"/>
    </row>
    <row r="980" ht="15.75" customHeight="1">
      <c r="R980" s="2"/>
      <c r="S980" s="2"/>
      <c r="T980" s="2"/>
      <c r="U980" s="2"/>
      <c r="V980" s="2"/>
      <c r="W980" s="2"/>
      <c r="X980" s="2"/>
    </row>
    <row r="981" ht="15.75" customHeight="1">
      <c r="R981" s="2"/>
      <c r="S981" s="2"/>
      <c r="T981" s="2"/>
      <c r="U981" s="2"/>
      <c r="V981" s="2"/>
      <c r="W981" s="2"/>
      <c r="X981" s="2"/>
    </row>
    <row r="982" ht="15.75" customHeight="1">
      <c r="R982" s="2"/>
      <c r="S982" s="2"/>
      <c r="T982" s="2"/>
      <c r="U982" s="2"/>
      <c r="V982" s="2"/>
      <c r="W982" s="2"/>
      <c r="X982" s="2"/>
    </row>
    <row r="983" ht="15.75" customHeight="1">
      <c r="R983" s="2"/>
      <c r="S983" s="2"/>
      <c r="T983" s="2"/>
      <c r="U983" s="2"/>
      <c r="V983" s="2"/>
      <c r="W983" s="2"/>
      <c r="X983" s="2"/>
    </row>
    <row r="984" ht="15.75" customHeight="1">
      <c r="R984" s="2"/>
      <c r="S984" s="2"/>
      <c r="T984" s="2"/>
      <c r="U984" s="2"/>
      <c r="V984" s="2"/>
      <c r="W984" s="2"/>
      <c r="X984" s="2"/>
    </row>
    <row r="985" ht="15.75" customHeight="1">
      <c r="R985" s="2"/>
      <c r="S985" s="2"/>
      <c r="T985" s="2"/>
      <c r="U985" s="2"/>
      <c r="V985" s="2"/>
      <c r="W985" s="2"/>
      <c r="X985" s="2"/>
    </row>
    <row r="986" ht="15.75" customHeight="1">
      <c r="R986" s="2"/>
      <c r="S986" s="2"/>
      <c r="T986" s="2"/>
      <c r="U986" s="2"/>
      <c r="V986" s="2"/>
      <c r="W986" s="2"/>
      <c r="X986" s="2"/>
    </row>
    <row r="987" ht="15.75" customHeight="1">
      <c r="R987" s="2"/>
      <c r="S987" s="2"/>
      <c r="T987" s="2"/>
      <c r="U987" s="2"/>
      <c r="V987" s="2"/>
      <c r="W987" s="2"/>
      <c r="X987" s="2"/>
    </row>
    <row r="988" ht="15.75" customHeight="1">
      <c r="R988" s="2"/>
      <c r="S988" s="2"/>
      <c r="T988" s="2"/>
      <c r="U988" s="2"/>
      <c r="V988" s="2"/>
      <c r="W988" s="2"/>
      <c r="X988" s="2"/>
    </row>
    <row r="989" ht="15.75" customHeight="1">
      <c r="R989" s="2"/>
      <c r="S989" s="2"/>
      <c r="T989" s="2"/>
      <c r="U989" s="2"/>
      <c r="V989" s="2"/>
      <c r="W989" s="2"/>
      <c r="X989" s="2"/>
    </row>
    <row r="990" ht="15.75" customHeight="1">
      <c r="R990" s="2"/>
      <c r="S990" s="2"/>
      <c r="T990" s="2"/>
      <c r="U990" s="2"/>
      <c r="V990" s="2"/>
      <c r="W990" s="2"/>
      <c r="X990" s="2"/>
    </row>
    <row r="991" ht="15.75" customHeight="1">
      <c r="R991" s="2"/>
      <c r="S991" s="2"/>
      <c r="T991" s="2"/>
      <c r="U991" s="2"/>
      <c r="V991" s="2"/>
      <c r="W991" s="2"/>
      <c r="X991" s="2"/>
    </row>
    <row r="992" ht="15.75" customHeight="1">
      <c r="R992" s="2"/>
      <c r="S992" s="2"/>
      <c r="T992" s="2"/>
      <c r="U992" s="2"/>
      <c r="V992" s="2"/>
      <c r="W992" s="2"/>
      <c r="X992" s="2"/>
    </row>
    <row r="993" ht="15.75" customHeight="1">
      <c r="R993" s="2"/>
      <c r="S993" s="2"/>
      <c r="T993" s="2"/>
      <c r="U993" s="2"/>
      <c r="V993" s="2"/>
      <c r="W993" s="2"/>
      <c r="X993" s="2"/>
    </row>
    <row r="994" ht="15.75" customHeight="1">
      <c r="R994" s="2"/>
      <c r="S994" s="2"/>
      <c r="T994" s="2"/>
      <c r="U994" s="2"/>
      <c r="V994" s="2"/>
      <c r="W994" s="2"/>
      <c r="X994" s="2"/>
    </row>
    <row r="995" ht="15.75" customHeight="1">
      <c r="R995" s="2"/>
      <c r="S995" s="2"/>
      <c r="T995" s="2"/>
      <c r="U995" s="2"/>
      <c r="V995" s="2"/>
      <c r="W995" s="2"/>
      <c r="X995" s="2"/>
    </row>
    <row r="996" ht="15.75" customHeight="1">
      <c r="R996" s="2"/>
      <c r="S996" s="2"/>
      <c r="T996" s="2"/>
      <c r="U996" s="2"/>
      <c r="V996" s="2"/>
      <c r="W996" s="2"/>
      <c r="X996" s="2"/>
    </row>
    <row r="997" ht="15.75" customHeight="1">
      <c r="R997" s="2"/>
      <c r="S997" s="2"/>
      <c r="T997" s="2"/>
      <c r="U997" s="2"/>
      <c r="V997" s="2"/>
      <c r="W997" s="2"/>
      <c r="X997" s="2"/>
    </row>
    <row r="998" ht="15.75" customHeight="1">
      <c r="R998" s="2"/>
      <c r="S998" s="2"/>
      <c r="T998" s="2"/>
      <c r="U998" s="2"/>
      <c r="V998" s="2"/>
      <c r="W998" s="2"/>
      <c r="X998" s="2"/>
    </row>
    <row r="999" ht="15.75" customHeight="1">
      <c r="R999" s="2"/>
      <c r="S999" s="2"/>
      <c r="T999" s="2"/>
      <c r="U999" s="2"/>
      <c r="V999" s="2"/>
      <c r="W999" s="2"/>
      <c r="X999" s="2"/>
    </row>
    <row r="1000" ht="15.75" customHeight="1">
      <c r="R1000" s="2"/>
      <c r="S1000" s="2"/>
      <c r="T1000" s="2"/>
      <c r="U1000" s="2"/>
      <c r="V1000" s="2"/>
      <c r="W1000" s="2"/>
      <c r="X1000" s="2"/>
    </row>
    <row r="1001" ht="15.75" customHeight="1">
      <c r="R1001" s="2"/>
      <c r="S1001" s="2"/>
      <c r="T1001" s="2"/>
      <c r="U1001" s="2"/>
      <c r="V1001" s="2"/>
      <c r="W1001" s="2"/>
      <c r="X1001" s="2"/>
    </row>
    <row r="1002" ht="15.75" customHeight="1">
      <c r="R1002" s="2"/>
      <c r="S1002" s="2"/>
      <c r="T1002" s="2"/>
      <c r="U1002" s="2"/>
      <c r="V1002" s="2"/>
      <c r="W1002" s="2"/>
      <c r="X1002" s="2"/>
    </row>
    <row r="1003" ht="15.75" customHeight="1">
      <c r="R1003" s="2"/>
      <c r="S1003" s="2"/>
      <c r="T1003" s="2"/>
      <c r="U1003" s="2"/>
      <c r="V1003" s="2"/>
      <c r="W1003" s="2"/>
      <c r="X1003" s="2"/>
    </row>
    <row r="1004" ht="15.75" customHeight="1">
      <c r="R1004" s="2"/>
      <c r="S1004" s="2"/>
      <c r="T1004" s="2"/>
      <c r="U1004" s="2"/>
      <c r="V1004" s="2"/>
      <c r="W1004" s="2"/>
      <c r="X1004" s="2"/>
    </row>
    <row r="1005" ht="15.75" customHeight="1">
      <c r="R1005" s="2"/>
      <c r="S1005" s="2"/>
      <c r="T1005" s="2"/>
      <c r="U1005" s="2"/>
      <c r="V1005" s="2"/>
      <c r="W1005" s="2"/>
      <c r="X1005" s="2"/>
    </row>
    <row r="1006" ht="15.75" customHeight="1">
      <c r="R1006" s="2"/>
      <c r="S1006" s="2"/>
      <c r="T1006" s="2"/>
      <c r="U1006" s="2"/>
      <c r="V1006" s="2"/>
      <c r="W1006" s="2"/>
      <c r="X1006" s="2"/>
    </row>
    <row r="1007" ht="15.75" customHeight="1">
      <c r="R1007" s="2"/>
      <c r="S1007" s="2"/>
      <c r="T1007" s="2"/>
      <c r="U1007" s="2"/>
      <c r="V1007" s="2"/>
      <c r="W1007" s="2"/>
      <c r="X1007" s="2"/>
    </row>
    <row r="1008" ht="15.75" customHeight="1">
      <c r="R1008" s="2"/>
      <c r="S1008" s="2"/>
      <c r="T1008" s="2"/>
      <c r="U1008" s="2"/>
      <c r="V1008" s="2"/>
      <c r="W1008" s="2"/>
      <c r="X1008" s="2"/>
    </row>
    <row r="1009" ht="15.75" customHeight="1">
      <c r="R1009" s="2"/>
      <c r="S1009" s="2"/>
      <c r="T1009" s="2"/>
      <c r="U1009" s="2"/>
      <c r="V1009" s="2"/>
      <c r="W1009" s="2"/>
      <c r="X1009" s="2"/>
    </row>
    <row r="1010" ht="15.75" customHeight="1">
      <c r="R1010" s="2"/>
      <c r="S1010" s="2"/>
      <c r="T1010" s="2"/>
      <c r="U1010" s="2"/>
      <c r="V1010" s="2"/>
      <c r="W1010" s="2"/>
      <c r="X1010" s="2"/>
    </row>
  </sheetData>
  <mergeCells count="45">
    <mergeCell ref="N60:O60"/>
    <mergeCell ref="N70:O70"/>
    <mergeCell ref="M51:N51"/>
    <mergeCell ref="L52:N52"/>
    <mergeCell ref="F59:G59"/>
    <mergeCell ref="N59:O59"/>
    <mergeCell ref="F60:G60"/>
    <mergeCell ref="D63:F63"/>
    <mergeCell ref="L63:N63"/>
    <mergeCell ref="B10:C10"/>
    <mergeCell ref="D10:P10"/>
    <mergeCell ref="D12:F12"/>
    <mergeCell ref="L12:N12"/>
    <mergeCell ref="M19:N19"/>
    <mergeCell ref="D21:F21"/>
    <mergeCell ref="L21:N21"/>
    <mergeCell ref="W34:W36"/>
    <mergeCell ref="X34:X36"/>
    <mergeCell ref="M20:N20"/>
    <mergeCell ref="N28:O28"/>
    <mergeCell ref="E29:F29"/>
    <mergeCell ref="N29:O29"/>
    <mergeCell ref="E30:F30"/>
    <mergeCell ref="D32:F32"/>
    <mergeCell ref="L32:N32"/>
    <mergeCell ref="F39:G39"/>
    <mergeCell ref="N39:O39"/>
    <mergeCell ref="F40:G40"/>
    <mergeCell ref="N40:O40"/>
    <mergeCell ref="D42:F42"/>
    <mergeCell ref="L42:N42"/>
    <mergeCell ref="S42:X42"/>
    <mergeCell ref="S48:X50"/>
    <mergeCell ref="S51:X57"/>
    <mergeCell ref="S58:X62"/>
    <mergeCell ref="S43:X43"/>
    <mergeCell ref="S44:X45"/>
    <mergeCell ref="S46:X47"/>
    <mergeCell ref="F49:G49"/>
    <mergeCell ref="F50:G50"/>
    <mergeCell ref="M50:N50"/>
    <mergeCell ref="D52:F52"/>
    <mergeCell ref="F71:G71"/>
    <mergeCell ref="N71:O71"/>
    <mergeCell ref="F72:G72"/>
  </mergeCells>
  <conditionalFormatting sqref="U32">
    <cfRule type="cellIs" dxfId="0" priority="1" operator="equal">
      <formula>"400:00:00"</formula>
    </cfRule>
  </conditionalFormatting>
  <conditionalFormatting sqref="U36">
    <cfRule type="cellIs" dxfId="1" priority="2" operator="equal">
      <formula>"1200:00:00.000"</formula>
    </cfRule>
  </conditionalFormatting>
  <conditionalFormatting sqref="U36">
    <cfRule type="cellIs" dxfId="2" priority="3" operator="notEqual">
      <formula>"1200:00:00.000"</formula>
    </cfRule>
  </conditionalFormatting>
  <conditionalFormatting sqref="U34">
    <cfRule type="cellIs" dxfId="1" priority="4" operator="equal">
      <formula>"800:00:00.000"</formula>
    </cfRule>
  </conditionalFormatting>
  <conditionalFormatting sqref="U34">
    <cfRule type="cellIs" dxfId="3" priority="5" operator="notEqual">
      <formula>"800:00:00"</formula>
    </cfRule>
  </conditionalFormatting>
  <printOptions horizontalCentered="1"/>
  <pageMargins bottom="0.5" footer="0.0" header="0.0" left="0.5" right="0.5" top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8" width="6.71"/>
    <col customWidth="1" min="9" max="9" width="4.71"/>
    <col customWidth="1" min="10" max="16" width="6.71"/>
    <col customWidth="1" min="17" max="17" width="3.86"/>
    <col customWidth="1" min="18" max="18" width="8.71"/>
    <col customWidth="1" min="19" max="19" width="5.86"/>
    <col customWidth="1" min="20" max="20" width="17.14"/>
    <col customWidth="1" min="21" max="21" width="9.43"/>
    <col customWidth="1" min="22" max="22" width="8.14"/>
    <col customWidth="1" min="23" max="23" width="16.71"/>
    <col customWidth="1" min="24" max="24" width="19.29"/>
    <col customWidth="1" min="25" max="31" width="8.71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2"/>
      <c r="S1" s="2"/>
      <c r="T1" s="2"/>
      <c r="U1" s="2"/>
      <c r="V1" s="2"/>
      <c r="W1" s="2"/>
      <c r="X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2"/>
      <c r="S2" s="2"/>
      <c r="T2" s="2"/>
      <c r="U2" s="2"/>
      <c r="V2" s="2"/>
      <c r="W2" s="2"/>
      <c r="X2" s="2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R3" s="2"/>
      <c r="S3" s="2"/>
      <c r="T3" s="2"/>
      <c r="U3" s="2"/>
      <c r="V3" s="2"/>
      <c r="W3" s="2"/>
      <c r="X3" s="2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R4" s="2"/>
      <c r="S4" s="2"/>
      <c r="T4" s="2"/>
      <c r="U4" s="2"/>
      <c r="V4" s="2"/>
      <c r="W4" s="2"/>
      <c r="X4" s="2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2"/>
      <c r="S5" s="2"/>
      <c r="T5" s="2"/>
      <c r="U5" s="2"/>
      <c r="V5" s="2"/>
      <c r="W5" s="2"/>
      <c r="X5" s="2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R6" s="2"/>
      <c r="S6" s="2"/>
      <c r="T6" s="2"/>
      <c r="U6" s="2"/>
      <c r="V6" s="2"/>
      <c r="W6" s="2"/>
      <c r="X6" s="2"/>
    </row>
    <row r="7">
      <c r="B7" s="4"/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R7" s="2"/>
      <c r="S7" s="2"/>
      <c r="T7" s="2"/>
      <c r="U7" s="2"/>
      <c r="V7" s="2"/>
      <c r="W7" s="2"/>
      <c r="X7" s="2"/>
    </row>
    <row r="8"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2"/>
      <c r="S8" s="2"/>
      <c r="T8" s="2"/>
      <c r="U8" s="2"/>
      <c r="V8" s="2"/>
      <c r="W8" s="2"/>
      <c r="X8" s="2"/>
    </row>
    <row r="9"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2"/>
      <c r="S9" s="2"/>
      <c r="T9" s="2"/>
      <c r="U9" s="2"/>
      <c r="V9" s="2"/>
      <c r="W9" s="2"/>
      <c r="X9" s="2"/>
    </row>
    <row r="10">
      <c r="B10" s="1"/>
      <c r="D10" s="1"/>
      <c r="R10" s="2"/>
      <c r="S10" s="2"/>
      <c r="T10" s="2"/>
      <c r="U10" s="2"/>
      <c r="V10" s="2"/>
      <c r="W10" s="2"/>
      <c r="X10" s="2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2"/>
      <c r="S11" s="2"/>
      <c r="T11" s="2"/>
      <c r="U11" s="2"/>
      <c r="V11" s="2"/>
      <c r="W11" s="2"/>
      <c r="X11" s="2"/>
    </row>
    <row r="12">
      <c r="B12" s="5"/>
      <c r="C12" s="6"/>
      <c r="D12" s="7" t="s">
        <v>48</v>
      </c>
      <c r="E12" s="8"/>
      <c r="F12" s="8"/>
      <c r="G12" s="6"/>
      <c r="H12" s="9"/>
      <c r="J12" s="10"/>
      <c r="K12" s="6"/>
      <c r="L12" s="7" t="s">
        <v>49</v>
      </c>
      <c r="M12" s="8"/>
      <c r="N12" s="8"/>
      <c r="O12" s="6"/>
      <c r="P12" s="11"/>
      <c r="R12" s="12"/>
      <c r="S12" s="13" t="s">
        <v>2</v>
      </c>
      <c r="T12" s="14"/>
      <c r="U12" s="14"/>
      <c r="V12" s="14"/>
      <c r="W12" s="14"/>
      <c r="X12" s="14"/>
    </row>
    <row r="13">
      <c r="B13" s="15" t="s">
        <v>3</v>
      </c>
      <c r="C13" s="16" t="s">
        <v>4</v>
      </c>
      <c r="D13" s="16" t="s">
        <v>5</v>
      </c>
      <c r="E13" s="16" t="s">
        <v>6</v>
      </c>
      <c r="F13" s="16" t="s">
        <v>7</v>
      </c>
      <c r="G13" s="16" t="s">
        <v>8</v>
      </c>
      <c r="H13" s="17" t="s">
        <v>9</v>
      </c>
      <c r="J13" s="15" t="s">
        <v>3</v>
      </c>
      <c r="K13" s="16" t="s">
        <v>4</v>
      </c>
      <c r="L13" s="16" t="s">
        <v>5</v>
      </c>
      <c r="M13" s="16" t="s">
        <v>6</v>
      </c>
      <c r="N13" s="16" t="s">
        <v>7</v>
      </c>
      <c r="O13" s="16" t="s">
        <v>8</v>
      </c>
      <c r="P13" s="17" t="s">
        <v>9</v>
      </c>
      <c r="R13" s="12"/>
      <c r="S13" s="14"/>
      <c r="T13" s="14"/>
      <c r="U13" s="14"/>
      <c r="V13" s="14"/>
      <c r="W13" s="14"/>
      <c r="X13" s="14"/>
    </row>
    <row r="14">
      <c r="B14" s="18"/>
      <c r="C14" s="18"/>
      <c r="D14" s="18"/>
      <c r="E14" s="19">
        <v>45658.0</v>
      </c>
      <c r="F14" s="87">
        <v>45659.0</v>
      </c>
      <c r="G14" s="87">
        <v>45660.0</v>
      </c>
      <c r="H14" s="19">
        <v>45661.0</v>
      </c>
      <c r="J14" s="30"/>
      <c r="K14" s="30"/>
      <c r="L14" s="30"/>
      <c r="M14" s="30"/>
      <c r="N14" s="30"/>
      <c r="O14" s="30"/>
      <c r="P14" s="50">
        <v>45689.0</v>
      </c>
      <c r="R14" s="12"/>
      <c r="S14" s="25"/>
      <c r="T14" s="14" t="s">
        <v>10</v>
      </c>
      <c r="U14" s="14"/>
      <c r="V14" s="14"/>
      <c r="W14" s="14"/>
      <c r="X14" s="14"/>
      <c r="Z14" s="26" t="s">
        <v>11</v>
      </c>
    </row>
    <row r="15">
      <c r="B15" s="19">
        <v>45662.0</v>
      </c>
      <c r="C15" s="87">
        <v>45663.0</v>
      </c>
      <c r="D15" s="87">
        <v>45664.0</v>
      </c>
      <c r="E15" s="87">
        <v>45665.0</v>
      </c>
      <c r="F15" s="87">
        <v>45666.0</v>
      </c>
      <c r="G15" s="87">
        <v>45667.0</v>
      </c>
      <c r="H15" s="19">
        <v>45668.0</v>
      </c>
      <c r="J15" s="50">
        <v>45690.0</v>
      </c>
      <c r="K15" s="49">
        <v>45691.0</v>
      </c>
      <c r="L15" s="49">
        <v>45692.0</v>
      </c>
      <c r="M15" s="49">
        <v>45693.0</v>
      </c>
      <c r="N15" s="49">
        <v>45694.0</v>
      </c>
      <c r="O15" s="49">
        <v>45695.0</v>
      </c>
      <c r="P15" s="50">
        <v>45696.0</v>
      </c>
      <c r="Q15" s="27" t="s">
        <v>12</v>
      </c>
      <c r="R15" s="12"/>
      <c r="S15" s="14"/>
      <c r="T15" s="14"/>
      <c r="U15" s="14"/>
      <c r="V15" s="14"/>
      <c r="W15" s="14"/>
      <c r="X15" s="14"/>
      <c r="Z15" s="2"/>
    </row>
    <row r="16">
      <c r="B16" s="19">
        <v>45669.0</v>
      </c>
      <c r="C16" s="87">
        <v>45670.0</v>
      </c>
      <c r="D16" s="87">
        <v>45671.0</v>
      </c>
      <c r="E16" s="87">
        <v>45672.0</v>
      </c>
      <c r="F16" s="87">
        <v>45673.0</v>
      </c>
      <c r="G16" s="87">
        <v>45674.0</v>
      </c>
      <c r="H16" s="19">
        <v>45675.0</v>
      </c>
      <c r="J16" s="50">
        <v>45697.0</v>
      </c>
      <c r="K16" s="49">
        <v>45698.0</v>
      </c>
      <c r="L16" s="49">
        <v>45699.0</v>
      </c>
      <c r="M16" s="49">
        <v>45700.0</v>
      </c>
      <c r="N16" s="49">
        <v>45701.0</v>
      </c>
      <c r="O16" s="49">
        <v>45702.0</v>
      </c>
      <c r="P16" s="50">
        <v>45703.0</v>
      </c>
      <c r="R16" s="12"/>
      <c r="S16" s="28"/>
      <c r="T16" s="14" t="s">
        <v>13</v>
      </c>
      <c r="U16" s="14"/>
      <c r="V16" s="14"/>
      <c r="W16" s="14"/>
      <c r="X16" s="14"/>
      <c r="Z16" s="26" t="s">
        <v>14</v>
      </c>
    </row>
    <row r="17">
      <c r="B17" s="19">
        <v>45676.0</v>
      </c>
      <c r="C17" s="87">
        <v>45677.0</v>
      </c>
      <c r="D17" s="87">
        <v>45678.0</v>
      </c>
      <c r="E17" s="87">
        <v>45679.0</v>
      </c>
      <c r="F17" s="87">
        <v>45680.0</v>
      </c>
      <c r="G17" s="87">
        <v>45681.0</v>
      </c>
      <c r="H17" s="19">
        <v>45682.0</v>
      </c>
      <c r="J17" s="50">
        <v>45704.0</v>
      </c>
      <c r="K17" s="49">
        <v>45705.0</v>
      </c>
      <c r="L17" s="49">
        <v>45706.0</v>
      </c>
      <c r="M17" s="49">
        <v>45707.0</v>
      </c>
      <c r="N17" s="49">
        <v>45708.0</v>
      </c>
      <c r="O17" s="49">
        <v>45709.0</v>
      </c>
      <c r="P17" s="50">
        <v>45710.0</v>
      </c>
      <c r="R17" s="12"/>
      <c r="S17" s="14"/>
      <c r="T17" s="14"/>
      <c r="U17" s="14"/>
      <c r="V17" s="14"/>
      <c r="W17" s="14"/>
      <c r="X17" s="14"/>
      <c r="Z17" s="2"/>
    </row>
    <row r="18">
      <c r="B18" s="50">
        <v>45683.0</v>
      </c>
      <c r="C18" s="49">
        <v>45684.0</v>
      </c>
      <c r="D18" s="49">
        <v>45685.0</v>
      </c>
      <c r="E18" s="49">
        <v>45686.0</v>
      </c>
      <c r="F18" s="49">
        <v>45687.0</v>
      </c>
      <c r="G18" s="49">
        <v>45688.0</v>
      </c>
      <c r="H18" s="90"/>
      <c r="J18" s="50">
        <v>45711.0</v>
      </c>
      <c r="K18" s="177">
        <v>45712.0</v>
      </c>
      <c r="L18" s="177">
        <v>45713.0</v>
      </c>
      <c r="M18" s="177">
        <v>45714.0</v>
      </c>
      <c r="N18" s="177">
        <v>45715.0</v>
      </c>
      <c r="O18" s="177">
        <v>45716.0</v>
      </c>
      <c r="P18" s="30"/>
      <c r="R18" s="12"/>
      <c r="S18" s="31"/>
      <c r="T18" s="14" t="s">
        <v>15</v>
      </c>
      <c r="U18" s="14"/>
      <c r="V18" s="14"/>
      <c r="W18" s="14"/>
      <c r="X18" s="14"/>
      <c r="Z18" s="26" t="s">
        <v>16</v>
      </c>
    </row>
    <row r="19">
      <c r="B19" s="32"/>
      <c r="C19" s="32"/>
      <c r="D19" s="32"/>
      <c r="E19" s="33"/>
      <c r="F19" s="33"/>
      <c r="G19" s="33"/>
      <c r="H19" s="33"/>
      <c r="J19" s="32"/>
      <c r="K19" s="32"/>
      <c r="L19" s="32"/>
      <c r="M19" s="34" t="s">
        <v>17</v>
      </c>
      <c r="O19" s="119"/>
      <c r="P19" s="33"/>
      <c r="R19" s="12"/>
      <c r="S19" s="14"/>
      <c r="T19" s="14"/>
      <c r="U19" s="14"/>
      <c r="V19" s="14"/>
      <c r="W19" s="14"/>
      <c r="X19" s="14"/>
      <c r="Z19" s="2"/>
    </row>
    <row r="20">
      <c r="B20" s="36"/>
      <c r="C20" s="36"/>
      <c r="D20" s="36"/>
      <c r="E20" s="36"/>
      <c r="F20" s="36"/>
      <c r="G20" s="36"/>
      <c r="H20" s="36"/>
      <c r="J20" s="36"/>
      <c r="K20" s="36"/>
      <c r="L20" s="36"/>
      <c r="M20" s="37" t="s">
        <v>18</v>
      </c>
      <c r="N20" s="38"/>
      <c r="O20" s="39"/>
      <c r="P20" s="36"/>
      <c r="R20" s="12"/>
      <c r="S20" s="40"/>
      <c r="T20" s="41" t="s">
        <v>19</v>
      </c>
      <c r="U20" s="14"/>
      <c r="V20" s="14"/>
      <c r="W20" s="14"/>
      <c r="X20" s="14"/>
      <c r="Z20" s="26" t="s">
        <v>20</v>
      </c>
    </row>
    <row r="21">
      <c r="B21" s="42"/>
      <c r="C21" s="43"/>
      <c r="D21" s="44" t="s">
        <v>50</v>
      </c>
      <c r="E21" s="45"/>
      <c r="F21" s="45"/>
      <c r="G21" s="43"/>
      <c r="H21" s="46"/>
      <c r="J21" s="42"/>
      <c r="K21" s="43"/>
      <c r="L21" s="44" t="s">
        <v>51</v>
      </c>
      <c r="M21" s="45"/>
      <c r="N21" s="45"/>
      <c r="O21" s="43"/>
      <c r="P21" s="46"/>
      <c r="R21" s="12"/>
      <c r="S21" s="14"/>
      <c r="T21" s="14"/>
      <c r="U21" s="14"/>
      <c r="V21" s="14"/>
      <c r="W21" s="2"/>
      <c r="X21" s="2"/>
    </row>
    <row r="22">
      <c r="B22" s="15" t="s">
        <v>3</v>
      </c>
      <c r="C22" s="16" t="s">
        <v>4</v>
      </c>
      <c r="D22" s="16" t="s">
        <v>5</v>
      </c>
      <c r="E22" s="16" t="s">
        <v>6</v>
      </c>
      <c r="F22" s="16" t="s">
        <v>7</v>
      </c>
      <c r="G22" s="16" t="s">
        <v>8</v>
      </c>
      <c r="H22" s="17" t="s">
        <v>9</v>
      </c>
      <c r="J22" s="15" t="s">
        <v>3</v>
      </c>
      <c r="K22" s="16" t="s">
        <v>4</v>
      </c>
      <c r="L22" s="16" t="s">
        <v>5</v>
      </c>
      <c r="M22" s="16" t="s">
        <v>6</v>
      </c>
      <c r="N22" s="16" t="s">
        <v>7</v>
      </c>
      <c r="O22" s="16" t="s">
        <v>8</v>
      </c>
      <c r="P22" s="17" t="s">
        <v>9</v>
      </c>
      <c r="R22" s="12"/>
      <c r="S22" s="55"/>
      <c r="T22" s="53" t="s">
        <v>117</v>
      </c>
      <c r="U22" s="14"/>
      <c r="V22" s="14"/>
      <c r="W22" s="2"/>
      <c r="X22" s="2"/>
    </row>
    <row r="23">
      <c r="B23" s="30"/>
      <c r="C23" s="74"/>
      <c r="D23" s="74"/>
      <c r="E23" s="74"/>
      <c r="F23" s="66"/>
      <c r="G23" s="66"/>
      <c r="H23" s="50">
        <v>45717.0</v>
      </c>
      <c r="J23" s="30"/>
      <c r="K23" s="30"/>
      <c r="L23" s="170">
        <v>45748.0</v>
      </c>
      <c r="M23" s="170">
        <v>45749.0</v>
      </c>
      <c r="N23" s="170">
        <v>45750.0</v>
      </c>
      <c r="O23" s="170">
        <v>45751.0</v>
      </c>
      <c r="P23" s="50">
        <v>45752.0</v>
      </c>
      <c r="R23" s="12"/>
      <c r="S23" s="26"/>
      <c r="T23" s="26"/>
      <c r="U23" s="14"/>
      <c r="V23" s="14"/>
      <c r="W23" s="2"/>
      <c r="X23" s="2"/>
    </row>
    <row r="24">
      <c r="B24" s="50">
        <v>45718.0</v>
      </c>
      <c r="C24" s="50">
        <v>45719.0</v>
      </c>
      <c r="D24" s="50">
        <v>45720.0</v>
      </c>
      <c r="E24" s="50">
        <v>45721.0</v>
      </c>
      <c r="F24" s="177">
        <v>45722.0</v>
      </c>
      <c r="G24" s="170">
        <v>45723.0</v>
      </c>
      <c r="H24" s="50">
        <v>45724.0</v>
      </c>
      <c r="I24" s="51"/>
      <c r="J24" s="50">
        <v>45753.0</v>
      </c>
      <c r="K24" s="170">
        <v>45754.0</v>
      </c>
      <c r="L24" s="170">
        <v>45755.0</v>
      </c>
      <c r="M24" s="170">
        <v>45756.0</v>
      </c>
      <c r="N24" s="170">
        <v>45757.0</v>
      </c>
      <c r="O24" s="170">
        <v>45758.0</v>
      </c>
      <c r="P24" s="50">
        <v>45759.0</v>
      </c>
      <c r="R24" s="12"/>
      <c r="S24" s="172"/>
      <c r="T24" s="130" t="s">
        <v>94</v>
      </c>
      <c r="U24" s="53"/>
      <c r="V24" s="53"/>
      <c r="W24" s="53"/>
      <c r="X24" s="2"/>
    </row>
    <row r="25">
      <c r="B25" s="50">
        <v>45725.0</v>
      </c>
      <c r="C25" s="170">
        <v>45726.0</v>
      </c>
      <c r="D25" s="170">
        <v>45727.0</v>
      </c>
      <c r="E25" s="170">
        <v>45728.0</v>
      </c>
      <c r="F25" s="170">
        <v>45729.0</v>
      </c>
      <c r="G25" s="170">
        <v>45730.0</v>
      </c>
      <c r="H25" s="50">
        <v>45731.0</v>
      </c>
      <c r="I25" s="51"/>
      <c r="J25" s="50">
        <v>45760.0</v>
      </c>
      <c r="K25" s="170">
        <v>45761.0</v>
      </c>
      <c r="L25" s="170">
        <v>45762.0</v>
      </c>
      <c r="M25" s="170">
        <v>45763.0</v>
      </c>
      <c r="N25" s="170">
        <v>45764.0</v>
      </c>
      <c r="O25" s="50">
        <v>45765.0</v>
      </c>
      <c r="P25" s="50">
        <v>45766.0</v>
      </c>
      <c r="R25" s="12"/>
      <c r="S25" s="2"/>
      <c r="T25" s="2"/>
      <c r="U25" s="53"/>
      <c r="V25" s="53"/>
      <c r="W25" s="53"/>
      <c r="X25" s="2"/>
    </row>
    <row r="26">
      <c r="B26" s="50">
        <v>45732.0</v>
      </c>
      <c r="C26" s="170">
        <v>45733.0</v>
      </c>
      <c r="D26" s="170">
        <v>45734.0</v>
      </c>
      <c r="E26" s="170">
        <v>45735.0</v>
      </c>
      <c r="F26" s="170">
        <v>45736.0</v>
      </c>
      <c r="G26" s="170">
        <v>45737.0</v>
      </c>
      <c r="H26" s="50">
        <v>45738.0</v>
      </c>
      <c r="I26" s="51"/>
      <c r="J26" s="50">
        <v>45767.0</v>
      </c>
      <c r="K26" s="50">
        <v>45768.0</v>
      </c>
      <c r="L26" s="170">
        <v>45769.0</v>
      </c>
      <c r="M26" s="170">
        <v>45770.0</v>
      </c>
      <c r="N26" s="170">
        <v>45771.0</v>
      </c>
      <c r="O26" s="170">
        <v>45772.0</v>
      </c>
      <c r="P26" s="50">
        <v>45773.0</v>
      </c>
      <c r="R26" s="54"/>
      <c r="S26" s="142"/>
      <c r="T26" s="130" t="s">
        <v>118</v>
      </c>
      <c r="U26" s="14"/>
      <c r="V26" s="14"/>
      <c r="W26" s="14"/>
      <c r="X26" s="14"/>
    </row>
    <row r="27">
      <c r="B27" s="50">
        <v>45739.0</v>
      </c>
      <c r="C27" s="170">
        <v>45740.0</v>
      </c>
      <c r="D27" s="170">
        <v>45741.0</v>
      </c>
      <c r="E27" s="170">
        <v>45742.0</v>
      </c>
      <c r="F27" s="170">
        <v>45743.0</v>
      </c>
      <c r="G27" s="170">
        <v>45744.0</v>
      </c>
      <c r="H27" s="50">
        <v>45745.0</v>
      </c>
      <c r="I27" s="51"/>
      <c r="J27" s="50">
        <v>45774.0</v>
      </c>
      <c r="K27" s="170">
        <v>45775.0</v>
      </c>
      <c r="L27" s="170">
        <v>45776.0</v>
      </c>
      <c r="M27" s="170">
        <v>45777.0</v>
      </c>
      <c r="N27" s="56"/>
      <c r="O27" s="56"/>
      <c r="P27" s="57"/>
      <c r="R27" s="54"/>
      <c r="U27" s="14"/>
      <c r="V27" s="14"/>
      <c r="W27" s="14"/>
      <c r="X27" s="14"/>
    </row>
    <row r="28">
      <c r="B28" s="50">
        <v>45746.0</v>
      </c>
      <c r="C28" s="170">
        <v>45747.0</v>
      </c>
      <c r="D28" s="56"/>
      <c r="E28" s="56"/>
      <c r="F28" s="56"/>
      <c r="G28" s="56"/>
      <c r="H28" s="57"/>
      <c r="J28" s="36"/>
      <c r="K28" s="36"/>
      <c r="L28" s="36"/>
      <c r="M28" s="36"/>
      <c r="N28" s="34" t="s">
        <v>17</v>
      </c>
      <c r="P28" s="119"/>
      <c r="R28" s="54"/>
      <c r="U28" s="14"/>
      <c r="V28" s="14"/>
      <c r="W28" s="14"/>
      <c r="X28" s="14"/>
    </row>
    <row r="29">
      <c r="B29" s="36"/>
      <c r="C29" s="36"/>
      <c r="D29" s="36"/>
      <c r="E29" s="34" t="s">
        <v>17</v>
      </c>
      <c r="G29" s="119"/>
      <c r="H29" s="36"/>
      <c r="N29" s="37" t="s">
        <v>18</v>
      </c>
      <c r="O29" s="38"/>
      <c r="P29" s="139"/>
      <c r="R29" s="54"/>
      <c r="U29" s="61"/>
      <c r="V29" s="14"/>
      <c r="W29" s="14"/>
      <c r="X29" s="14"/>
    </row>
    <row r="30">
      <c r="B30" s="36"/>
      <c r="C30" s="36"/>
      <c r="D30" s="36"/>
      <c r="E30" s="37" t="s">
        <v>18</v>
      </c>
      <c r="F30" s="38"/>
      <c r="G30" s="139"/>
      <c r="H30" s="36"/>
      <c r="J30" s="32"/>
      <c r="K30" s="33"/>
      <c r="L30" s="33"/>
      <c r="M30" s="33"/>
      <c r="R30" s="54"/>
      <c r="U30" s="61"/>
      <c r="V30" s="14"/>
      <c r="W30" s="14"/>
      <c r="X30" s="14"/>
    </row>
    <row r="31" ht="15.75" customHeight="1">
      <c r="J31" s="36"/>
      <c r="K31" s="36"/>
      <c r="L31" s="36"/>
      <c r="M31" s="36"/>
      <c r="R31" s="54"/>
      <c r="S31" s="2"/>
      <c r="V31" s="14"/>
      <c r="W31" s="14"/>
      <c r="X31" s="14"/>
    </row>
    <row r="32" ht="15.75" customHeight="1">
      <c r="B32" s="42"/>
      <c r="C32" s="43"/>
      <c r="D32" s="64" t="s">
        <v>53</v>
      </c>
      <c r="E32" s="65"/>
      <c r="F32" s="65"/>
      <c r="G32" s="43"/>
      <c r="H32" s="46"/>
      <c r="J32" s="42"/>
      <c r="K32" s="43"/>
      <c r="L32" s="64" t="s">
        <v>54</v>
      </c>
      <c r="M32" s="65"/>
      <c r="N32" s="65"/>
      <c r="O32" s="43"/>
      <c r="P32" s="46"/>
      <c r="R32" s="54"/>
      <c r="S32" s="2"/>
      <c r="T32" s="62" t="s">
        <v>27</v>
      </c>
      <c r="U32" s="63">
        <f>SUM(O19+G29+P28+H39+P39+H49+O50+H59+P59+H71+P70)</f>
        <v>16.66666667</v>
      </c>
      <c r="V32" s="14"/>
      <c r="W32" s="14"/>
      <c r="X32" s="14"/>
    </row>
    <row r="33" ht="15.75" customHeight="1">
      <c r="B33" s="15" t="s">
        <v>3</v>
      </c>
      <c r="C33" s="16" t="s">
        <v>4</v>
      </c>
      <c r="D33" s="16" t="s">
        <v>5</v>
      </c>
      <c r="E33" s="16" t="s">
        <v>6</v>
      </c>
      <c r="F33" s="16" t="s">
        <v>7</v>
      </c>
      <c r="G33" s="16" t="s">
        <v>8</v>
      </c>
      <c r="H33" s="17" t="s">
        <v>9</v>
      </c>
      <c r="J33" s="15" t="s">
        <v>3</v>
      </c>
      <c r="K33" s="16" t="s">
        <v>4</v>
      </c>
      <c r="L33" s="16" t="s">
        <v>5</v>
      </c>
      <c r="M33" s="16" t="s">
        <v>6</v>
      </c>
      <c r="N33" s="16" t="s">
        <v>7</v>
      </c>
      <c r="O33" s="16" t="s">
        <v>8</v>
      </c>
      <c r="P33" s="17" t="s">
        <v>9</v>
      </c>
      <c r="R33" s="54"/>
      <c r="S33" s="2"/>
      <c r="T33" s="14"/>
      <c r="U33" s="61"/>
      <c r="V33" s="14"/>
      <c r="W33" s="14"/>
      <c r="X33" s="14"/>
    </row>
    <row r="34" ht="15.75" customHeight="1">
      <c r="B34" s="30"/>
      <c r="C34" s="74"/>
      <c r="D34" s="74"/>
      <c r="E34" s="74"/>
      <c r="F34" s="50">
        <v>45778.0</v>
      </c>
      <c r="G34" s="170">
        <v>45779.0</v>
      </c>
      <c r="H34" s="50">
        <v>45780.0</v>
      </c>
      <c r="J34" s="50">
        <v>45809.0</v>
      </c>
      <c r="K34" s="174">
        <v>45810.0</v>
      </c>
      <c r="L34" s="174">
        <v>45811.0</v>
      </c>
      <c r="M34" s="174">
        <v>45812.0</v>
      </c>
      <c r="N34" s="174">
        <v>45813.0</v>
      </c>
      <c r="O34" s="174">
        <v>45814.0</v>
      </c>
      <c r="P34" s="50">
        <v>45815.0</v>
      </c>
      <c r="R34" s="54"/>
      <c r="S34" s="2"/>
      <c r="T34" s="62" t="s">
        <v>30</v>
      </c>
      <c r="U34" s="63">
        <f>SUM(O20+G30+P29+H40+P40+H50+O51+H60+P60+H72+P71+H83)</f>
        <v>33.33333333</v>
      </c>
      <c r="V34" s="2"/>
      <c r="W34" s="67"/>
      <c r="X34" s="67"/>
    </row>
    <row r="35" ht="15.75" customHeight="1">
      <c r="B35" s="50">
        <v>45781.0</v>
      </c>
      <c r="C35" s="170">
        <v>45782.0</v>
      </c>
      <c r="D35" s="170">
        <v>45783.0</v>
      </c>
      <c r="E35" s="170">
        <v>45784.0</v>
      </c>
      <c r="F35" s="170">
        <v>45785.0</v>
      </c>
      <c r="G35" s="170">
        <v>45786.0</v>
      </c>
      <c r="H35" s="50">
        <v>45787.0</v>
      </c>
      <c r="I35" s="67"/>
      <c r="J35" s="50">
        <v>45816.0</v>
      </c>
      <c r="K35" s="174">
        <v>45817.0</v>
      </c>
      <c r="L35" s="174">
        <v>45818.0</v>
      </c>
      <c r="M35" s="174">
        <v>45819.0</v>
      </c>
      <c r="N35" s="174">
        <v>45820.0</v>
      </c>
      <c r="O35" s="174">
        <v>45821.0</v>
      </c>
      <c r="P35" s="50">
        <v>45822.0</v>
      </c>
      <c r="R35" s="3">
        <f>"3:20"*5+"4:00"*5</f>
        <v>1.527777778</v>
      </c>
      <c r="S35" s="2"/>
      <c r="T35" s="26"/>
      <c r="U35" s="26"/>
      <c r="V35" s="2"/>
    </row>
    <row r="36" ht="15.75" customHeight="1">
      <c r="B36" s="50">
        <v>45788.0</v>
      </c>
      <c r="C36" s="170">
        <v>45789.0</v>
      </c>
      <c r="D36" s="170">
        <v>45790.0</v>
      </c>
      <c r="E36" s="170">
        <v>45791.0</v>
      </c>
      <c r="F36" s="170">
        <v>45792.0</v>
      </c>
      <c r="G36" s="170">
        <v>45793.0</v>
      </c>
      <c r="H36" s="50">
        <v>45794.0</v>
      </c>
      <c r="I36" s="67"/>
      <c r="J36" s="50">
        <v>45823.0</v>
      </c>
      <c r="K36" s="174">
        <v>45824.0</v>
      </c>
      <c r="L36" s="174">
        <v>45825.0</v>
      </c>
      <c r="M36" s="174">
        <v>45826.0</v>
      </c>
      <c r="N36" s="174">
        <v>45827.0</v>
      </c>
      <c r="O36" s="174">
        <v>45828.0</v>
      </c>
      <c r="P36" s="50">
        <v>45829.0</v>
      </c>
      <c r="R36" s="54"/>
      <c r="S36" s="2"/>
      <c r="T36" s="68" t="s">
        <v>31</v>
      </c>
      <c r="U36" s="63">
        <f>SUM(U32+U34)</f>
        <v>50</v>
      </c>
      <c r="V36" s="2"/>
    </row>
    <row r="37" ht="15.75" customHeight="1">
      <c r="B37" s="50">
        <v>45795.0</v>
      </c>
      <c r="C37" s="174">
        <v>45796.0</v>
      </c>
      <c r="D37" s="174">
        <v>45797.0</v>
      </c>
      <c r="E37" s="174">
        <v>45798.0</v>
      </c>
      <c r="F37" s="174">
        <v>45799.0</v>
      </c>
      <c r="G37" s="174">
        <v>45800.0</v>
      </c>
      <c r="H37" s="50">
        <v>45801.0</v>
      </c>
      <c r="I37" s="67"/>
      <c r="J37" s="50">
        <v>45830.0</v>
      </c>
      <c r="K37" s="174">
        <v>45831.0</v>
      </c>
      <c r="L37" s="50">
        <v>45832.0</v>
      </c>
      <c r="M37" s="174">
        <v>45833.0</v>
      </c>
      <c r="N37" s="174">
        <v>45834.0</v>
      </c>
      <c r="O37" s="174">
        <v>45835.0</v>
      </c>
      <c r="P37" s="50">
        <v>45836.0</v>
      </c>
      <c r="R37" s="54"/>
      <c r="S37" s="69"/>
      <c r="T37" s="2"/>
      <c r="U37" s="2"/>
      <c r="V37" s="2"/>
      <c r="W37" s="2"/>
      <c r="X37" s="2"/>
    </row>
    <row r="38" ht="15.75" customHeight="1">
      <c r="B38" s="50">
        <v>45802.0</v>
      </c>
      <c r="C38" s="174">
        <v>45803.0</v>
      </c>
      <c r="D38" s="174">
        <v>45804.0</v>
      </c>
      <c r="E38" s="174">
        <v>45805.0</v>
      </c>
      <c r="F38" s="174">
        <v>45806.0</v>
      </c>
      <c r="G38" s="174">
        <v>45807.0</v>
      </c>
      <c r="H38" s="50">
        <v>45808.0</v>
      </c>
      <c r="J38" s="50">
        <v>45837.0</v>
      </c>
      <c r="K38" s="174">
        <v>45838.0</v>
      </c>
      <c r="L38" s="91"/>
      <c r="M38" s="91"/>
      <c r="N38" s="91"/>
      <c r="O38" s="91"/>
      <c r="P38" s="91"/>
      <c r="R38" s="54"/>
      <c r="S38" s="70" t="s">
        <v>32</v>
      </c>
      <c r="T38" s="2"/>
      <c r="U38" s="2"/>
      <c r="V38" s="2"/>
      <c r="W38" s="2"/>
      <c r="X38" s="2"/>
    </row>
    <row r="39" ht="15.75" customHeight="1">
      <c r="B39" s="32"/>
      <c r="C39" s="32"/>
      <c r="D39" s="32"/>
      <c r="E39" s="32"/>
      <c r="F39" s="34" t="s">
        <v>17</v>
      </c>
      <c r="H39" s="119">
        <f>("03:20")*10</f>
        <v>1.388888889</v>
      </c>
      <c r="I39" s="67"/>
      <c r="N39" s="34" t="s">
        <v>17</v>
      </c>
      <c r="P39" s="119">
        <f>("03:20")*20</f>
        <v>2.777777778</v>
      </c>
      <c r="R39" s="54"/>
      <c r="S39" s="71" t="s">
        <v>119</v>
      </c>
      <c r="T39" s="2"/>
      <c r="U39" s="2"/>
      <c r="V39" s="2"/>
      <c r="W39" s="2"/>
      <c r="X39" s="2"/>
    </row>
    <row r="40" ht="15.75" customHeight="1">
      <c r="B40" s="32"/>
      <c r="C40" s="32"/>
      <c r="D40" s="32"/>
      <c r="E40" s="32"/>
      <c r="F40" s="37" t="s">
        <v>18</v>
      </c>
      <c r="G40" s="38"/>
      <c r="H40" s="139">
        <f>"04:00"*10</f>
        <v>1.666666667</v>
      </c>
      <c r="I40" s="67"/>
      <c r="J40" s="32"/>
      <c r="K40" s="32"/>
      <c r="L40" s="32"/>
      <c r="M40" s="32"/>
      <c r="N40" s="37" t="s">
        <v>18</v>
      </c>
      <c r="O40" s="38"/>
      <c r="P40" s="139">
        <f>"04:00"*20</f>
        <v>3.333333333</v>
      </c>
      <c r="R40" s="54"/>
      <c r="S40" s="71" t="s">
        <v>120</v>
      </c>
      <c r="T40" s="2"/>
      <c r="U40" s="2"/>
      <c r="V40" s="2"/>
      <c r="W40" s="2"/>
      <c r="X40" s="2"/>
    </row>
    <row r="41" ht="15.75" customHeight="1">
      <c r="B41" s="36"/>
      <c r="C41" s="36"/>
      <c r="D41" s="36"/>
      <c r="E41" s="36"/>
      <c r="J41" s="36"/>
      <c r="K41" s="36"/>
      <c r="L41" s="36"/>
      <c r="M41" s="36"/>
      <c r="R41" s="54"/>
      <c r="S41" s="2"/>
      <c r="T41" s="2"/>
      <c r="U41" s="2"/>
      <c r="V41" s="2"/>
      <c r="W41" s="2"/>
      <c r="X41" s="2"/>
    </row>
    <row r="42" ht="15.75" customHeight="1">
      <c r="B42" s="42"/>
      <c r="C42" s="43"/>
      <c r="D42" s="64" t="s">
        <v>57</v>
      </c>
      <c r="E42" s="65"/>
      <c r="F42" s="65"/>
      <c r="G42" s="43"/>
      <c r="H42" s="46"/>
      <c r="J42" s="42"/>
      <c r="K42" s="43"/>
      <c r="L42" s="64" t="s">
        <v>58</v>
      </c>
      <c r="M42" s="65"/>
      <c r="N42" s="65"/>
      <c r="O42" s="43"/>
      <c r="P42" s="46"/>
      <c r="R42" s="54"/>
      <c r="S42" s="72" t="s">
        <v>37</v>
      </c>
    </row>
    <row r="43" ht="15.75" customHeight="1">
      <c r="B43" s="15" t="s">
        <v>3</v>
      </c>
      <c r="C43" s="16" t="s">
        <v>4</v>
      </c>
      <c r="D43" s="16" t="s">
        <v>5</v>
      </c>
      <c r="E43" s="16" t="s">
        <v>6</v>
      </c>
      <c r="F43" s="16" t="s">
        <v>7</v>
      </c>
      <c r="G43" s="16" t="s">
        <v>8</v>
      </c>
      <c r="H43" s="17" t="s">
        <v>9</v>
      </c>
      <c r="J43" s="15" t="s">
        <v>3</v>
      </c>
      <c r="K43" s="16" t="s">
        <v>4</v>
      </c>
      <c r="L43" s="16" t="s">
        <v>5</v>
      </c>
      <c r="M43" s="16" t="s">
        <v>6</v>
      </c>
      <c r="N43" s="16" t="s">
        <v>7</v>
      </c>
      <c r="O43" s="16" t="s">
        <v>8</v>
      </c>
      <c r="P43" s="17" t="s">
        <v>9</v>
      </c>
      <c r="R43" s="54"/>
      <c r="S43" s="73" t="s">
        <v>121</v>
      </c>
    </row>
    <row r="44" ht="15.75" customHeight="1">
      <c r="B44" s="30"/>
      <c r="C44" s="30"/>
      <c r="D44" s="174">
        <v>45839.0</v>
      </c>
      <c r="E44" s="174">
        <v>45840.0</v>
      </c>
      <c r="F44" s="174">
        <v>45841.0</v>
      </c>
      <c r="G44" s="174">
        <v>45842.0</v>
      </c>
      <c r="H44" s="50">
        <v>45843.0</v>
      </c>
      <c r="J44" s="30"/>
      <c r="K44" s="66"/>
      <c r="L44" s="66"/>
      <c r="M44" s="66"/>
      <c r="N44" s="66"/>
      <c r="O44" s="174">
        <v>45870.0</v>
      </c>
      <c r="P44" s="50">
        <v>45871.0</v>
      </c>
      <c r="R44" s="54"/>
      <c r="S44" s="75" t="s">
        <v>122</v>
      </c>
    </row>
    <row r="45" ht="15.75" customHeight="1">
      <c r="B45" s="50">
        <v>45844.0</v>
      </c>
      <c r="C45" s="174">
        <v>45845.0</v>
      </c>
      <c r="D45" s="174">
        <v>45846.0</v>
      </c>
      <c r="E45" s="174">
        <v>45847.0</v>
      </c>
      <c r="F45" s="174">
        <v>45848.0</v>
      </c>
      <c r="G45" s="174">
        <v>45849.0</v>
      </c>
      <c r="H45" s="50">
        <v>45850.0</v>
      </c>
      <c r="J45" s="50">
        <v>45872.0</v>
      </c>
      <c r="K45" s="174">
        <v>45873.0</v>
      </c>
      <c r="L45" s="174">
        <v>45874.0</v>
      </c>
      <c r="M45" s="174">
        <v>45875.0</v>
      </c>
      <c r="N45" s="174">
        <v>45876.0</v>
      </c>
      <c r="O45" s="174">
        <v>45877.0</v>
      </c>
      <c r="P45" s="50">
        <v>45878.0</v>
      </c>
      <c r="R45" s="54"/>
    </row>
    <row r="46" ht="15.75" customHeight="1">
      <c r="B46" s="50">
        <v>45851.0</v>
      </c>
      <c r="C46" s="172">
        <v>45852.0</v>
      </c>
      <c r="D46" s="172">
        <v>45853.0</v>
      </c>
      <c r="E46" s="172">
        <v>45854.0</v>
      </c>
      <c r="F46" s="172">
        <v>45855.0</v>
      </c>
      <c r="G46" s="172">
        <v>45856.0</v>
      </c>
      <c r="H46" s="50">
        <v>45857.0</v>
      </c>
      <c r="J46" s="50">
        <v>45879.0</v>
      </c>
      <c r="K46" s="174">
        <v>45880.0</v>
      </c>
      <c r="L46" s="174">
        <v>45881.0</v>
      </c>
      <c r="M46" s="174">
        <v>45882.0</v>
      </c>
      <c r="N46" s="174">
        <v>45883.0</v>
      </c>
      <c r="O46" s="174">
        <v>45884.0</v>
      </c>
      <c r="P46" s="50">
        <v>45885.0</v>
      </c>
      <c r="R46" s="54"/>
      <c r="S46" s="73" t="s">
        <v>123</v>
      </c>
    </row>
    <row r="47" ht="15.75" customHeight="1">
      <c r="B47" s="50">
        <v>45858.0</v>
      </c>
      <c r="C47" s="172">
        <v>45859.0</v>
      </c>
      <c r="D47" s="172">
        <v>45860.0</v>
      </c>
      <c r="E47" s="172">
        <v>45861.0</v>
      </c>
      <c r="F47" s="172">
        <v>45862.0</v>
      </c>
      <c r="G47" s="172">
        <v>45863.0</v>
      </c>
      <c r="H47" s="50">
        <v>45864.0</v>
      </c>
      <c r="J47" s="50">
        <v>45886.0</v>
      </c>
      <c r="K47" s="174">
        <v>45887.0</v>
      </c>
      <c r="L47" s="174">
        <v>45888.0</v>
      </c>
      <c r="M47" s="174">
        <v>45889.0</v>
      </c>
      <c r="N47" s="174">
        <v>45890.0</v>
      </c>
      <c r="O47" s="174">
        <v>45891.0</v>
      </c>
      <c r="P47" s="50">
        <v>45892.0</v>
      </c>
      <c r="R47" s="54"/>
    </row>
    <row r="48" ht="15.75" customHeight="1">
      <c r="B48" s="50">
        <v>45865.0</v>
      </c>
      <c r="C48" s="174">
        <v>45866.0</v>
      </c>
      <c r="D48" s="174">
        <v>45867.0</v>
      </c>
      <c r="E48" s="174">
        <v>45868.0</v>
      </c>
      <c r="F48" s="174">
        <v>45869.0</v>
      </c>
      <c r="G48" s="30"/>
      <c r="H48" s="30"/>
      <c r="J48" s="50">
        <v>45893.0</v>
      </c>
      <c r="K48" s="174">
        <v>45894.0</v>
      </c>
      <c r="L48" s="174">
        <v>45895.0</v>
      </c>
      <c r="M48" s="174">
        <v>45896.0</v>
      </c>
      <c r="N48" s="174">
        <v>45897.0</v>
      </c>
      <c r="O48" s="174">
        <v>45898.0</v>
      </c>
      <c r="P48" s="50">
        <v>45899.0</v>
      </c>
      <c r="R48" s="54"/>
      <c r="S48" s="77" t="s">
        <v>124</v>
      </c>
    </row>
    <row r="49" ht="15.75" customHeight="1">
      <c r="A49" s="78"/>
      <c r="B49" s="79"/>
      <c r="C49" s="79"/>
      <c r="D49" s="80"/>
      <c r="E49" s="80"/>
      <c r="F49" s="34" t="s">
        <v>17</v>
      </c>
      <c r="H49" s="119">
        <f>("03:20")*13</f>
        <v>1.805555556</v>
      </c>
      <c r="I49" s="78"/>
      <c r="J49" s="50">
        <v>45900.0</v>
      </c>
      <c r="K49" s="30"/>
      <c r="L49" s="30"/>
      <c r="M49" s="30"/>
      <c r="N49" s="30"/>
      <c r="O49" s="30"/>
      <c r="P49" s="30"/>
      <c r="R49" s="54"/>
    </row>
    <row r="50" ht="15.75" customHeight="1">
      <c r="A50" s="78"/>
      <c r="B50" s="82"/>
      <c r="C50" s="79"/>
      <c r="D50" s="80"/>
      <c r="E50" s="80"/>
      <c r="F50" s="37" t="s">
        <v>18</v>
      </c>
      <c r="G50" s="38"/>
      <c r="H50" s="139">
        <f>"06:00"*10+"04:00"*13</f>
        <v>4.666666667</v>
      </c>
      <c r="I50" s="78"/>
      <c r="J50" s="84"/>
      <c r="K50" s="84"/>
      <c r="L50" s="84"/>
      <c r="M50" s="34" t="s">
        <v>17</v>
      </c>
      <c r="O50" s="119">
        <f>("03:20")*21</f>
        <v>2.916666667</v>
      </c>
      <c r="P50" s="36"/>
      <c r="R50" s="54"/>
    </row>
    <row r="51" ht="15.75" customHeight="1">
      <c r="A51" s="78"/>
      <c r="B51" s="84"/>
      <c r="C51" s="84"/>
      <c r="D51" s="84"/>
      <c r="E51" s="84"/>
      <c r="F51" s="84"/>
      <c r="G51" s="84"/>
      <c r="H51" s="84"/>
      <c r="I51" s="78"/>
      <c r="J51" s="78"/>
      <c r="K51" s="78"/>
      <c r="L51" s="78"/>
      <c r="M51" s="37" t="s">
        <v>18</v>
      </c>
      <c r="N51" s="38"/>
      <c r="O51" s="139">
        <f>"04:00"*21</f>
        <v>3.5</v>
      </c>
      <c r="P51" s="36"/>
      <c r="R51" s="54"/>
      <c r="S51" s="77" t="s">
        <v>125</v>
      </c>
    </row>
    <row r="52" ht="15.75" customHeight="1">
      <c r="B52" s="42"/>
      <c r="C52" s="43"/>
      <c r="D52" s="64" t="s">
        <v>64</v>
      </c>
      <c r="E52" s="65"/>
      <c r="F52" s="65"/>
      <c r="G52" s="43"/>
      <c r="H52" s="46"/>
      <c r="J52" s="42"/>
      <c r="K52" s="43"/>
      <c r="L52" s="64" t="s">
        <v>65</v>
      </c>
      <c r="M52" s="65"/>
      <c r="N52" s="65"/>
      <c r="O52" s="43"/>
      <c r="P52" s="46"/>
      <c r="R52" s="54"/>
    </row>
    <row r="53" ht="15.75" customHeight="1">
      <c r="B53" s="15" t="s">
        <v>3</v>
      </c>
      <c r="C53" s="16" t="s">
        <v>4</v>
      </c>
      <c r="D53" s="16" t="s">
        <v>5</v>
      </c>
      <c r="E53" s="16" t="s">
        <v>6</v>
      </c>
      <c r="F53" s="16" t="s">
        <v>7</v>
      </c>
      <c r="G53" s="16" t="s">
        <v>8</v>
      </c>
      <c r="H53" s="17" t="s">
        <v>9</v>
      </c>
      <c r="J53" s="15" t="s">
        <v>3</v>
      </c>
      <c r="K53" s="16" t="s">
        <v>4</v>
      </c>
      <c r="L53" s="16" t="s">
        <v>5</v>
      </c>
      <c r="M53" s="16" t="s">
        <v>6</v>
      </c>
      <c r="N53" s="16" t="s">
        <v>7</v>
      </c>
      <c r="O53" s="16" t="s">
        <v>8</v>
      </c>
      <c r="P53" s="17" t="s">
        <v>9</v>
      </c>
      <c r="R53" s="54"/>
    </row>
    <row r="54" ht="15.75" customHeight="1">
      <c r="B54" s="18"/>
      <c r="C54" s="174">
        <v>45901.0</v>
      </c>
      <c r="D54" s="174">
        <v>45902.0</v>
      </c>
      <c r="E54" s="174">
        <v>45903.0</v>
      </c>
      <c r="F54" s="174">
        <v>45904.0</v>
      </c>
      <c r="G54" s="174">
        <v>45905.0</v>
      </c>
      <c r="H54" s="50">
        <v>45906.0</v>
      </c>
      <c r="J54" s="18"/>
      <c r="K54" s="18"/>
      <c r="L54" s="18"/>
      <c r="M54" s="174">
        <v>45931.0</v>
      </c>
      <c r="N54" s="174">
        <v>45932.0</v>
      </c>
      <c r="O54" s="50">
        <v>45933.0</v>
      </c>
      <c r="P54" s="50">
        <v>45934.0</v>
      </c>
      <c r="R54" s="54"/>
    </row>
    <row r="55" ht="15.75" customHeight="1">
      <c r="B55" s="50">
        <v>45907.0</v>
      </c>
      <c r="C55" s="174">
        <v>45908.0</v>
      </c>
      <c r="D55" s="174">
        <v>45909.0</v>
      </c>
      <c r="E55" s="174">
        <v>45910.0</v>
      </c>
      <c r="F55" s="174">
        <v>45911.0</v>
      </c>
      <c r="G55" s="174">
        <v>45912.0</v>
      </c>
      <c r="H55" s="50">
        <v>45913.0</v>
      </c>
      <c r="J55" s="50">
        <v>45935.0</v>
      </c>
      <c r="K55" s="174">
        <v>45936.0</v>
      </c>
      <c r="L55" s="174">
        <v>45937.0</v>
      </c>
      <c r="M55" s="174">
        <v>45938.0</v>
      </c>
      <c r="N55" s="174">
        <v>45939.0</v>
      </c>
      <c r="O55" s="174">
        <v>45940.0</v>
      </c>
      <c r="P55" s="50">
        <v>45941.0</v>
      </c>
      <c r="R55" s="54"/>
    </row>
    <row r="56" ht="15.75" customHeight="1">
      <c r="B56" s="50">
        <v>45914.0</v>
      </c>
      <c r="C56" s="174">
        <v>45915.0</v>
      </c>
      <c r="D56" s="174">
        <v>45916.0</v>
      </c>
      <c r="E56" s="174">
        <v>45917.0</v>
      </c>
      <c r="F56" s="174">
        <v>45918.0</v>
      </c>
      <c r="G56" s="174">
        <v>45919.0</v>
      </c>
      <c r="H56" s="50">
        <v>45920.0</v>
      </c>
      <c r="J56" s="50">
        <v>45942.0</v>
      </c>
      <c r="K56" s="174">
        <v>45943.0</v>
      </c>
      <c r="L56" s="174">
        <v>45944.0</v>
      </c>
      <c r="M56" s="174">
        <v>45945.0</v>
      </c>
      <c r="N56" s="174">
        <v>45946.0</v>
      </c>
      <c r="O56" s="174">
        <v>45947.0</v>
      </c>
      <c r="P56" s="50">
        <v>45948.0</v>
      </c>
      <c r="R56" s="54"/>
    </row>
    <row r="57" ht="15.75" customHeight="1">
      <c r="B57" s="50">
        <v>45921.0</v>
      </c>
      <c r="C57" s="174">
        <v>45922.0</v>
      </c>
      <c r="D57" s="174">
        <v>45923.0</v>
      </c>
      <c r="E57" s="174">
        <v>45924.0</v>
      </c>
      <c r="F57" s="174">
        <v>45925.0</v>
      </c>
      <c r="G57" s="174">
        <v>45926.0</v>
      </c>
      <c r="H57" s="50">
        <v>45927.0</v>
      </c>
      <c r="J57" s="50">
        <v>45949.0</v>
      </c>
      <c r="K57" s="174">
        <v>45950.0</v>
      </c>
      <c r="L57" s="174">
        <v>45951.0</v>
      </c>
      <c r="M57" s="174">
        <v>45952.0</v>
      </c>
      <c r="N57" s="174">
        <v>45953.0</v>
      </c>
      <c r="O57" s="174">
        <v>45954.0</v>
      </c>
      <c r="P57" s="50">
        <v>45955.0</v>
      </c>
      <c r="R57" s="54"/>
    </row>
    <row r="58" ht="15.75" customHeight="1">
      <c r="B58" s="50">
        <v>45928.0</v>
      </c>
      <c r="C58" s="174">
        <v>45929.0</v>
      </c>
      <c r="D58" s="174">
        <v>45930.0</v>
      </c>
      <c r="E58" s="56"/>
      <c r="F58" s="56"/>
      <c r="G58" s="56"/>
      <c r="H58" s="56"/>
      <c r="J58" s="50">
        <v>45956.0</v>
      </c>
      <c r="K58" s="174">
        <v>45957.0</v>
      </c>
      <c r="L58" s="174">
        <v>45958.0</v>
      </c>
      <c r="M58" s="174">
        <v>45959.0</v>
      </c>
      <c r="N58" s="174">
        <v>45960.0</v>
      </c>
      <c r="O58" s="174">
        <v>45961.0</v>
      </c>
      <c r="P58" s="57"/>
      <c r="R58" s="2"/>
      <c r="S58" s="73" t="s">
        <v>126</v>
      </c>
    </row>
    <row r="59" ht="15.75" customHeight="1">
      <c r="B59" s="79"/>
      <c r="C59" s="79"/>
      <c r="D59" s="79"/>
      <c r="E59" s="79"/>
      <c r="F59" s="34" t="s">
        <v>17</v>
      </c>
      <c r="H59" s="119">
        <f>("03:20")*22</f>
        <v>3.055555556</v>
      </c>
      <c r="I59" s="78"/>
      <c r="J59" s="79"/>
      <c r="K59" s="79"/>
      <c r="L59" s="79"/>
      <c r="M59" s="80"/>
      <c r="N59" s="34" t="s">
        <v>17</v>
      </c>
      <c r="P59" s="119">
        <f>("03:20")*22</f>
        <v>3.055555556</v>
      </c>
      <c r="Q59" s="78"/>
      <c r="R59" s="2"/>
    </row>
    <row r="60" ht="15.75" customHeight="1">
      <c r="B60" s="79"/>
      <c r="C60" s="79"/>
      <c r="D60" s="79"/>
      <c r="E60" s="79"/>
      <c r="F60" s="37" t="s">
        <v>18</v>
      </c>
      <c r="G60" s="38"/>
      <c r="H60" s="139">
        <f>"04:00"*22</f>
        <v>3.666666667</v>
      </c>
      <c r="I60" s="78"/>
      <c r="J60" s="79"/>
      <c r="K60" s="79"/>
      <c r="L60" s="79"/>
      <c r="M60" s="80"/>
      <c r="N60" s="37" t="s">
        <v>18</v>
      </c>
      <c r="O60" s="38"/>
      <c r="P60" s="139">
        <f>"04:00"*22</f>
        <v>3.666666667</v>
      </c>
      <c r="Q60" s="78"/>
      <c r="R60" s="2"/>
    </row>
    <row r="61" ht="15.75" customHeight="1">
      <c r="B61" s="79"/>
      <c r="C61" s="79"/>
      <c r="D61" s="79"/>
      <c r="E61" s="79"/>
      <c r="F61" s="79"/>
      <c r="G61" s="79"/>
      <c r="H61" s="82"/>
      <c r="I61" s="78"/>
      <c r="J61" s="79"/>
      <c r="K61" s="79"/>
      <c r="L61" s="79"/>
      <c r="M61" s="80"/>
      <c r="N61" s="80"/>
      <c r="O61" s="80"/>
      <c r="P61" s="80"/>
      <c r="Q61" s="78"/>
      <c r="R61" s="2"/>
    </row>
    <row r="62" ht="15.75" customHeight="1">
      <c r="B62" s="36"/>
      <c r="C62" s="36"/>
      <c r="D62" s="36"/>
      <c r="E62" s="36"/>
      <c r="F62" s="36"/>
      <c r="G62" s="36"/>
      <c r="H62" s="36"/>
      <c r="J62" s="36"/>
      <c r="K62" s="36"/>
      <c r="L62" s="36"/>
      <c r="M62" s="36"/>
      <c r="N62" s="36"/>
      <c r="O62" s="36"/>
      <c r="P62" s="36"/>
      <c r="R62" s="2"/>
    </row>
    <row r="63" ht="15.75" customHeight="1">
      <c r="B63" s="42"/>
      <c r="C63" s="43"/>
      <c r="D63" s="64" t="s">
        <v>67</v>
      </c>
      <c r="E63" s="65"/>
      <c r="F63" s="65"/>
      <c r="G63" s="43"/>
      <c r="H63" s="46"/>
      <c r="J63" s="42"/>
      <c r="K63" s="43"/>
      <c r="L63" s="64" t="s">
        <v>68</v>
      </c>
      <c r="M63" s="65"/>
      <c r="N63" s="65"/>
      <c r="O63" s="43"/>
      <c r="P63" s="46"/>
      <c r="R63" s="2"/>
      <c r="S63" s="2"/>
      <c r="T63" s="2"/>
      <c r="U63" s="2"/>
      <c r="V63" s="2"/>
      <c r="W63" s="2"/>
      <c r="X63" s="2"/>
    </row>
    <row r="64" ht="15.75" customHeight="1">
      <c r="B64" s="15" t="s">
        <v>3</v>
      </c>
      <c r="C64" s="16" t="s">
        <v>4</v>
      </c>
      <c r="D64" s="16" t="s">
        <v>5</v>
      </c>
      <c r="E64" s="16" t="s">
        <v>6</v>
      </c>
      <c r="F64" s="16" t="s">
        <v>7</v>
      </c>
      <c r="G64" s="16" t="s">
        <v>8</v>
      </c>
      <c r="H64" s="17" t="s">
        <v>9</v>
      </c>
      <c r="J64" s="15" t="s">
        <v>3</v>
      </c>
      <c r="K64" s="16" t="s">
        <v>4</v>
      </c>
      <c r="L64" s="16" t="s">
        <v>5</v>
      </c>
      <c r="M64" s="16" t="s">
        <v>6</v>
      </c>
      <c r="N64" s="16" t="s">
        <v>7</v>
      </c>
      <c r="O64" s="16" t="s">
        <v>8</v>
      </c>
      <c r="P64" s="17" t="s">
        <v>9</v>
      </c>
      <c r="R64" s="2"/>
      <c r="S64" s="2"/>
      <c r="T64" s="2"/>
      <c r="U64" s="2"/>
      <c r="V64" s="2"/>
      <c r="W64" s="2"/>
      <c r="X64" s="2"/>
    </row>
    <row r="65" ht="15.75" customHeight="1">
      <c r="B65" s="30"/>
      <c r="C65" s="74"/>
      <c r="D65" s="74"/>
      <c r="E65" s="74"/>
      <c r="F65" s="74"/>
      <c r="G65" s="74"/>
      <c r="H65" s="50">
        <v>45962.0</v>
      </c>
      <c r="J65" s="30"/>
      <c r="K65" s="178">
        <v>45992.0</v>
      </c>
      <c r="L65" s="178">
        <v>45993.0</v>
      </c>
      <c r="M65" s="178">
        <v>45994.0</v>
      </c>
      <c r="N65" s="178">
        <v>45995.0</v>
      </c>
      <c r="O65" s="178">
        <v>45996.0</v>
      </c>
      <c r="P65" s="50">
        <v>45997.0</v>
      </c>
      <c r="R65" s="54"/>
      <c r="S65" s="2"/>
      <c r="T65" s="2"/>
      <c r="U65" s="2"/>
      <c r="V65" s="2"/>
      <c r="W65" s="2"/>
      <c r="X65" s="2"/>
    </row>
    <row r="66" ht="15.75" customHeight="1">
      <c r="B66" s="50">
        <v>45963.0</v>
      </c>
      <c r="C66" s="174">
        <v>45964.0</v>
      </c>
      <c r="D66" s="174">
        <v>45965.0</v>
      </c>
      <c r="E66" s="174">
        <v>45966.0</v>
      </c>
      <c r="F66" s="174">
        <v>45967.0</v>
      </c>
      <c r="G66" s="174">
        <v>45968.0</v>
      </c>
      <c r="H66" s="50">
        <v>45969.0</v>
      </c>
      <c r="I66" s="51"/>
      <c r="J66" s="50">
        <v>45998.0</v>
      </c>
      <c r="K66" s="178">
        <v>45754.0</v>
      </c>
      <c r="L66" s="178">
        <v>45755.0</v>
      </c>
      <c r="M66" s="178">
        <v>45756.0</v>
      </c>
      <c r="N66" s="178">
        <v>45757.0</v>
      </c>
      <c r="O66" s="178">
        <v>46003.0</v>
      </c>
      <c r="P66" s="50">
        <v>46004.0</v>
      </c>
      <c r="R66" s="54"/>
      <c r="S66" s="2"/>
      <c r="T66" s="2"/>
      <c r="U66" s="2"/>
      <c r="V66" s="2"/>
      <c r="W66" s="2"/>
      <c r="X66" s="2"/>
    </row>
    <row r="67" ht="15.75" customHeight="1">
      <c r="B67" s="50">
        <v>45970.0</v>
      </c>
      <c r="C67" s="174">
        <v>45971.0</v>
      </c>
      <c r="D67" s="174">
        <v>45972.0</v>
      </c>
      <c r="E67" s="174">
        <v>45973.0</v>
      </c>
      <c r="F67" s="174">
        <v>45974.0</v>
      </c>
      <c r="G67" s="174">
        <v>45975.0</v>
      </c>
      <c r="H67" s="50">
        <v>45976.0</v>
      </c>
      <c r="J67" s="50">
        <v>46005.0</v>
      </c>
      <c r="K67" s="172">
        <v>46006.0</v>
      </c>
      <c r="L67" s="172">
        <v>46007.0</v>
      </c>
      <c r="M67" s="172">
        <v>46008.0</v>
      </c>
      <c r="N67" s="172">
        <v>46009.0</v>
      </c>
      <c r="O67" s="172">
        <v>46010.0</v>
      </c>
      <c r="P67" s="50">
        <v>46011.0</v>
      </c>
      <c r="R67" s="54"/>
      <c r="S67" s="2"/>
      <c r="T67" s="2"/>
      <c r="U67" s="2"/>
      <c r="V67" s="2"/>
      <c r="W67" s="2"/>
      <c r="X67" s="2"/>
    </row>
    <row r="68" ht="15.75" customHeight="1">
      <c r="B68" s="50">
        <v>45977.0</v>
      </c>
      <c r="C68" s="174">
        <v>45978.0</v>
      </c>
      <c r="D68" s="174">
        <v>45979.0</v>
      </c>
      <c r="E68" s="178">
        <v>45980.0</v>
      </c>
      <c r="F68" s="50">
        <v>45981.0</v>
      </c>
      <c r="G68" s="178">
        <v>45982.0</v>
      </c>
      <c r="H68" s="50">
        <v>45983.0</v>
      </c>
      <c r="J68" s="50">
        <v>46012.0</v>
      </c>
      <c r="K68" s="172">
        <v>46013.0</v>
      </c>
      <c r="L68" s="172">
        <v>46014.0</v>
      </c>
      <c r="M68" s="172">
        <v>46015.0</v>
      </c>
      <c r="N68" s="50">
        <v>46016.0</v>
      </c>
      <c r="O68" s="172">
        <v>46017.0</v>
      </c>
      <c r="P68" s="50">
        <v>46018.0</v>
      </c>
      <c r="R68" s="3">
        <f>"3:20"*5+"4:00"*5</f>
        <v>1.527777778</v>
      </c>
      <c r="S68" s="2"/>
      <c r="T68" s="2"/>
      <c r="U68" s="2"/>
      <c r="V68" s="2"/>
      <c r="W68" s="2"/>
      <c r="X68" s="2"/>
    </row>
    <row r="69" ht="15.75" customHeight="1">
      <c r="B69" s="50">
        <v>45984.0</v>
      </c>
      <c r="C69" s="178">
        <v>45985.0</v>
      </c>
      <c r="D69" s="178">
        <v>45986.0</v>
      </c>
      <c r="E69" s="178">
        <v>45987.0</v>
      </c>
      <c r="F69" s="178">
        <v>45988.0</v>
      </c>
      <c r="G69" s="178">
        <v>45989.0</v>
      </c>
      <c r="H69" s="50">
        <v>45990.0</v>
      </c>
      <c r="J69" s="50">
        <v>46019.0</v>
      </c>
      <c r="K69" s="172">
        <v>46020.0</v>
      </c>
      <c r="L69" s="172">
        <v>46021.0</v>
      </c>
      <c r="M69" s="172">
        <v>46022.0</v>
      </c>
      <c r="N69" s="56"/>
      <c r="O69" s="56"/>
      <c r="P69" s="57"/>
      <c r="R69" s="53" t="s">
        <v>127</v>
      </c>
      <c r="S69" s="2"/>
      <c r="T69" s="2"/>
      <c r="U69" s="2"/>
      <c r="V69" s="2"/>
      <c r="W69" s="2"/>
      <c r="X69" s="2"/>
    </row>
    <row r="70" ht="15.75" customHeight="1">
      <c r="B70" s="50">
        <v>45991.0</v>
      </c>
      <c r="C70" s="36"/>
      <c r="D70" s="36"/>
      <c r="E70" s="36"/>
      <c r="I70" s="78"/>
      <c r="N70" s="34" t="s">
        <v>17</v>
      </c>
      <c r="P70" s="119"/>
      <c r="R70" s="2"/>
      <c r="S70" s="2"/>
      <c r="T70" s="2"/>
      <c r="U70" s="2"/>
      <c r="V70" s="2"/>
      <c r="W70" s="2"/>
      <c r="X70" s="2"/>
    </row>
    <row r="71" ht="15.75" customHeight="1">
      <c r="F71" s="34" t="s">
        <v>17</v>
      </c>
      <c r="H71" s="119">
        <f>("03:20")*12</f>
        <v>1.666666667</v>
      </c>
      <c r="I71" s="78"/>
      <c r="J71" s="36"/>
      <c r="K71" s="36"/>
      <c r="L71" s="36"/>
      <c r="M71" s="36"/>
      <c r="N71" s="37" t="s">
        <v>18</v>
      </c>
      <c r="O71" s="38"/>
      <c r="P71" s="139">
        <f>"04:00"*10+"06:00"*12</f>
        <v>4.666666667</v>
      </c>
      <c r="Q71" s="78"/>
      <c r="R71" s="53" t="s">
        <v>128</v>
      </c>
      <c r="S71" s="2"/>
      <c r="T71" s="2"/>
      <c r="U71" s="2"/>
      <c r="V71" s="2"/>
      <c r="W71" s="2"/>
      <c r="X71" s="2"/>
    </row>
    <row r="72" ht="15.75" customHeight="1">
      <c r="B72" s="86"/>
      <c r="F72" s="37" t="s">
        <v>18</v>
      </c>
      <c r="G72" s="38"/>
      <c r="H72" s="139">
        <f>"04:00"*19</f>
        <v>3.166666667</v>
      </c>
      <c r="Q72" s="78"/>
      <c r="R72" s="2"/>
      <c r="S72" s="2"/>
      <c r="T72" s="2"/>
      <c r="U72" s="2"/>
      <c r="V72" s="2"/>
      <c r="W72" s="2"/>
      <c r="X72" s="2"/>
    </row>
    <row r="73" ht="15.75" customHeight="1">
      <c r="B73" s="51"/>
      <c r="H73" s="67"/>
      <c r="R73" s="2"/>
      <c r="S73" s="2"/>
      <c r="T73" s="2"/>
      <c r="U73" s="2"/>
      <c r="V73" s="2"/>
      <c r="W73" s="2"/>
      <c r="X73" s="2"/>
    </row>
    <row r="74" ht="15.75" customHeight="1">
      <c r="P74" s="67"/>
      <c r="R74" s="2"/>
      <c r="S74" s="2"/>
      <c r="T74" s="2"/>
      <c r="U74" s="2"/>
      <c r="V74" s="2"/>
      <c r="W74" s="2"/>
      <c r="X74" s="2"/>
    </row>
    <row r="75" ht="15.75" customHeight="1">
      <c r="B75" s="42"/>
      <c r="C75" s="43"/>
      <c r="D75" s="64" t="s">
        <v>0</v>
      </c>
      <c r="E75" s="65"/>
      <c r="F75" s="65"/>
      <c r="G75" s="43"/>
      <c r="H75" s="46"/>
      <c r="R75" s="2"/>
      <c r="S75" s="2"/>
      <c r="T75" s="2"/>
      <c r="U75" s="2"/>
      <c r="V75" s="2"/>
      <c r="W75" s="2"/>
      <c r="X75" s="2"/>
    </row>
    <row r="76" ht="15.75" customHeight="1">
      <c r="B76" s="15" t="s">
        <v>3</v>
      </c>
      <c r="C76" s="16" t="s">
        <v>4</v>
      </c>
      <c r="D76" s="16" t="s">
        <v>5</v>
      </c>
      <c r="E76" s="16" t="s">
        <v>6</v>
      </c>
      <c r="F76" s="16" t="s">
        <v>7</v>
      </c>
      <c r="G76" s="16" t="s">
        <v>8</v>
      </c>
      <c r="H76" s="17" t="s">
        <v>9</v>
      </c>
      <c r="R76" s="2"/>
      <c r="S76" s="2"/>
      <c r="T76" s="2"/>
      <c r="U76" s="2"/>
      <c r="V76" s="2"/>
      <c r="W76" s="2"/>
      <c r="X76" s="2"/>
    </row>
    <row r="77" ht="15.75" customHeight="1">
      <c r="B77" s="30"/>
      <c r="C77" s="74"/>
      <c r="D77" s="74"/>
      <c r="E77" s="74"/>
      <c r="F77" s="50">
        <v>45778.0</v>
      </c>
      <c r="G77" s="170">
        <v>45779.0</v>
      </c>
      <c r="H77" s="50">
        <v>45780.0</v>
      </c>
      <c r="R77" s="2"/>
      <c r="S77" s="2"/>
      <c r="T77" s="2"/>
      <c r="U77" s="2"/>
      <c r="V77" s="2"/>
      <c r="W77" s="2"/>
      <c r="X77" s="2"/>
    </row>
    <row r="78" ht="15.75" customHeight="1">
      <c r="B78" s="50">
        <v>45781.0</v>
      </c>
      <c r="C78" s="172">
        <v>45782.0</v>
      </c>
      <c r="D78" s="172">
        <v>45783.0</v>
      </c>
      <c r="E78" s="172">
        <v>45784.0</v>
      </c>
      <c r="F78" s="172">
        <v>45785.0</v>
      </c>
      <c r="G78" s="172">
        <v>45786.0</v>
      </c>
      <c r="H78" s="50">
        <v>45787.0</v>
      </c>
      <c r="R78" s="2"/>
      <c r="S78" s="2"/>
      <c r="T78" s="2"/>
      <c r="U78" s="2"/>
      <c r="V78" s="2"/>
      <c r="W78" s="2"/>
      <c r="X78" s="2"/>
    </row>
    <row r="79" ht="15.75" customHeight="1">
      <c r="B79" s="50">
        <v>45788.0</v>
      </c>
      <c r="C79" s="172">
        <v>45789.0</v>
      </c>
      <c r="D79" s="172">
        <v>45790.0</v>
      </c>
      <c r="E79" s="172">
        <v>45791.0</v>
      </c>
      <c r="F79" s="172">
        <v>45792.0</v>
      </c>
      <c r="G79" s="172">
        <v>45793.0</v>
      </c>
      <c r="H79" s="50">
        <v>45794.0</v>
      </c>
      <c r="R79" s="2"/>
      <c r="S79" s="2"/>
      <c r="T79" s="2"/>
      <c r="U79" s="2"/>
      <c r="V79" s="2"/>
      <c r="W79" s="2"/>
      <c r="X79" s="2"/>
    </row>
    <row r="80" ht="15.75" customHeight="1">
      <c r="B80" s="50">
        <v>45795.0</v>
      </c>
      <c r="C80" s="172">
        <v>45796.0</v>
      </c>
      <c r="D80" s="172">
        <v>45797.0</v>
      </c>
      <c r="E80" s="172">
        <v>45798.0</v>
      </c>
      <c r="F80" s="172">
        <v>45799.0</v>
      </c>
      <c r="G80" s="172">
        <v>45800.0</v>
      </c>
      <c r="H80" s="50">
        <v>45801.0</v>
      </c>
      <c r="R80" s="2"/>
      <c r="S80" s="2"/>
      <c r="T80" s="2"/>
      <c r="U80" s="2"/>
      <c r="V80" s="2"/>
      <c r="W80" s="2"/>
      <c r="X80" s="2"/>
    </row>
    <row r="81" ht="15.75" customHeight="1">
      <c r="B81" s="50">
        <v>45802.0</v>
      </c>
      <c r="C81" s="172">
        <v>45803.0</v>
      </c>
      <c r="D81" s="172">
        <v>45804.0</v>
      </c>
      <c r="E81" s="172">
        <v>45805.0</v>
      </c>
      <c r="F81" s="172">
        <v>45806.0</v>
      </c>
      <c r="G81" s="172">
        <v>45807.0</v>
      </c>
      <c r="H81" s="50">
        <v>45808.0</v>
      </c>
      <c r="R81" s="2"/>
      <c r="S81" s="2"/>
      <c r="T81" s="2"/>
      <c r="U81" s="2"/>
      <c r="V81" s="2"/>
      <c r="W81" s="2"/>
      <c r="X81" s="2"/>
    </row>
    <row r="82" ht="15.75" customHeight="1">
      <c r="B82" s="32"/>
      <c r="C82" s="32"/>
      <c r="D82" s="32"/>
      <c r="E82" s="32"/>
      <c r="F82" s="34" t="s">
        <v>17</v>
      </c>
      <c r="H82" s="119"/>
      <c r="R82" s="2"/>
      <c r="S82" s="2"/>
      <c r="T82" s="2"/>
      <c r="U82" s="2"/>
      <c r="V82" s="2"/>
      <c r="W82" s="2"/>
      <c r="X82" s="2"/>
    </row>
    <row r="83" ht="15.75" customHeight="1">
      <c r="B83" s="32"/>
      <c r="C83" s="32"/>
      <c r="D83" s="32"/>
      <c r="E83" s="32"/>
      <c r="F83" s="37" t="s">
        <v>18</v>
      </c>
      <c r="G83" s="38"/>
      <c r="H83" s="139">
        <f>"06:00"*20</f>
        <v>5</v>
      </c>
      <c r="R83" s="2"/>
      <c r="S83" s="2"/>
      <c r="T83" s="2"/>
      <c r="U83" s="2"/>
      <c r="V83" s="2"/>
      <c r="W83" s="2"/>
      <c r="X83" s="2"/>
    </row>
    <row r="84" ht="15.75" customHeight="1">
      <c r="R84" s="2"/>
      <c r="S84" s="2"/>
      <c r="T84" s="2"/>
      <c r="U84" s="2"/>
      <c r="V84" s="2"/>
      <c r="W84" s="2"/>
      <c r="X84" s="2"/>
    </row>
    <row r="85" ht="15.75" customHeight="1">
      <c r="R85" s="2"/>
      <c r="S85" s="2"/>
      <c r="T85" s="2"/>
      <c r="U85" s="2"/>
      <c r="V85" s="2"/>
      <c r="W85" s="2"/>
      <c r="X85" s="2"/>
    </row>
    <row r="86" ht="15.75" customHeight="1">
      <c r="R86" s="2"/>
      <c r="S86" s="2"/>
      <c r="T86" s="2"/>
      <c r="U86" s="2"/>
      <c r="V86" s="2"/>
      <c r="W86" s="2"/>
      <c r="X86" s="2"/>
    </row>
    <row r="87" ht="15.75" customHeight="1">
      <c r="R87" s="2"/>
      <c r="S87" s="2"/>
      <c r="T87" s="2"/>
      <c r="U87" s="2"/>
      <c r="V87" s="2"/>
      <c r="W87" s="2"/>
      <c r="X87" s="2"/>
    </row>
    <row r="88" ht="15.75" customHeight="1">
      <c r="R88" s="2"/>
      <c r="S88" s="2"/>
      <c r="T88" s="2"/>
      <c r="U88" s="2"/>
      <c r="V88" s="2"/>
      <c r="W88" s="2"/>
      <c r="X88" s="2"/>
    </row>
    <row r="89" ht="15.75" customHeight="1">
      <c r="R89" s="2"/>
      <c r="S89" s="2"/>
      <c r="T89" s="2"/>
      <c r="U89" s="2"/>
      <c r="V89" s="2"/>
      <c r="W89" s="2"/>
      <c r="X89" s="2"/>
    </row>
    <row r="90" ht="15.75" customHeight="1">
      <c r="R90" s="2"/>
      <c r="S90" s="2"/>
      <c r="T90" s="2"/>
      <c r="U90" s="2"/>
      <c r="V90" s="2"/>
      <c r="W90" s="2"/>
      <c r="X90" s="2"/>
    </row>
    <row r="91" ht="15.75" customHeight="1">
      <c r="R91" s="2"/>
      <c r="S91" s="2"/>
      <c r="T91" s="2"/>
      <c r="U91" s="2"/>
      <c r="V91" s="2"/>
      <c r="W91" s="2"/>
      <c r="X91" s="2"/>
    </row>
    <row r="92" ht="15.75" customHeight="1">
      <c r="R92" s="2"/>
      <c r="S92" s="2"/>
      <c r="T92" s="2"/>
      <c r="U92" s="2"/>
      <c r="V92" s="2"/>
      <c r="W92" s="2"/>
      <c r="X92" s="2"/>
    </row>
    <row r="93" ht="15.75" customHeight="1">
      <c r="R93" s="2"/>
      <c r="S93" s="2"/>
      <c r="T93" s="2"/>
      <c r="U93" s="2"/>
      <c r="V93" s="2"/>
      <c r="W93" s="2"/>
      <c r="X93" s="2"/>
    </row>
    <row r="94" ht="15.75" customHeight="1">
      <c r="R94" s="2"/>
      <c r="S94" s="2"/>
      <c r="T94" s="2"/>
      <c r="U94" s="2"/>
      <c r="V94" s="2"/>
      <c r="W94" s="2"/>
      <c r="X94" s="2"/>
    </row>
    <row r="95" ht="15.75" customHeight="1">
      <c r="R95" s="2"/>
      <c r="S95" s="2"/>
      <c r="T95" s="2"/>
      <c r="U95" s="2"/>
      <c r="V95" s="2"/>
      <c r="W95" s="2"/>
      <c r="X95" s="2"/>
    </row>
    <row r="96" ht="15.75" customHeight="1">
      <c r="R96" s="2"/>
      <c r="S96" s="2"/>
      <c r="T96" s="2"/>
      <c r="U96" s="2"/>
      <c r="V96" s="2"/>
      <c r="W96" s="2"/>
      <c r="X96" s="2"/>
    </row>
    <row r="97" ht="15.75" customHeight="1">
      <c r="R97" s="2"/>
      <c r="S97" s="2"/>
      <c r="T97" s="2"/>
      <c r="U97" s="2"/>
      <c r="V97" s="2"/>
      <c r="W97" s="2"/>
      <c r="X97" s="2"/>
    </row>
    <row r="98" ht="15.75" customHeight="1">
      <c r="R98" s="2"/>
      <c r="S98" s="2"/>
      <c r="T98" s="2"/>
      <c r="U98" s="2"/>
      <c r="V98" s="2"/>
      <c r="W98" s="2"/>
      <c r="X98" s="2"/>
    </row>
    <row r="99" ht="15.75" customHeight="1">
      <c r="R99" s="2"/>
      <c r="S99" s="2"/>
      <c r="T99" s="2"/>
      <c r="U99" s="2"/>
      <c r="V99" s="2"/>
      <c r="W99" s="2"/>
      <c r="X99" s="2"/>
    </row>
    <row r="100" ht="15.75" customHeight="1">
      <c r="R100" s="2"/>
      <c r="S100" s="2"/>
      <c r="T100" s="2"/>
      <c r="U100" s="2"/>
      <c r="V100" s="2"/>
      <c r="W100" s="2"/>
      <c r="X100" s="2"/>
    </row>
    <row r="101" ht="15.75" customHeight="1">
      <c r="R101" s="2"/>
      <c r="S101" s="2"/>
      <c r="T101" s="2"/>
      <c r="U101" s="2"/>
      <c r="V101" s="2"/>
      <c r="W101" s="2"/>
      <c r="X101" s="2"/>
    </row>
    <row r="102" ht="15.75" customHeight="1">
      <c r="R102" s="2"/>
      <c r="S102" s="2"/>
      <c r="T102" s="2"/>
      <c r="U102" s="2"/>
      <c r="V102" s="2"/>
      <c r="W102" s="2"/>
      <c r="X102" s="2"/>
    </row>
    <row r="103" ht="15.75" customHeight="1">
      <c r="R103" s="2"/>
      <c r="S103" s="2"/>
      <c r="T103" s="2"/>
      <c r="U103" s="2"/>
      <c r="V103" s="2"/>
      <c r="W103" s="2"/>
      <c r="X103" s="2"/>
    </row>
    <row r="104" ht="15.75" customHeight="1">
      <c r="R104" s="2"/>
      <c r="S104" s="2"/>
      <c r="T104" s="2"/>
      <c r="U104" s="2"/>
      <c r="V104" s="2"/>
      <c r="W104" s="2"/>
      <c r="X104" s="2"/>
    </row>
    <row r="105" ht="15.75" customHeight="1">
      <c r="R105" s="2"/>
      <c r="S105" s="2"/>
      <c r="T105" s="2"/>
      <c r="U105" s="2"/>
      <c r="V105" s="2"/>
      <c r="W105" s="2"/>
      <c r="X105" s="2"/>
    </row>
    <row r="106" ht="15.75" customHeight="1">
      <c r="R106" s="2"/>
      <c r="S106" s="2"/>
      <c r="T106" s="2"/>
      <c r="U106" s="2"/>
      <c r="V106" s="2"/>
      <c r="W106" s="2"/>
      <c r="X106" s="2"/>
    </row>
    <row r="107" ht="15.75" customHeight="1">
      <c r="R107" s="2"/>
      <c r="S107" s="2"/>
      <c r="T107" s="2"/>
      <c r="U107" s="2"/>
      <c r="V107" s="2"/>
      <c r="W107" s="2"/>
      <c r="X107" s="2"/>
    </row>
    <row r="108" ht="15.75" customHeight="1">
      <c r="R108" s="2"/>
      <c r="S108" s="2"/>
      <c r="T108" s="2"/>
      <c r="U108" s="2"/>
      <c r="V108" s="2"/>
      <c r="W108" s="2"/>
      <c r="X108" s="2"/>
    </row>
    <row r="109" ht="15.75" customHeight="1">
      <c r="R109" s="2"/>
      <c r="S109" s="2"/>
      <c r="T109" s="2"/>
      <c r="U109" s="2"/>
      <c r="V109" s="2"/>
      <c r="W109" s="2"/>
      <c r="X109" s="2"/>
    </row>
    <row r="110" ht="15.75" customHeight="1">
      <c r="R110" s="2"/>
      <c r="S110" s="2"/>
      <c r="T110" s="2"/>
      <c r="U110" s="2"/>
      <c r="V110" s="2"/>
      <c r="W110" s="2"/>
      <c r="X110" s="2"/>
    </row>
    <row r="111" ht="15.75" customHeight="1">
      <c r="R111" s="2"/>
      <c r="S111" s="2"/>
      <c r="T111" s="2"/>
      <c r="U111" s="2"/>
      <c r="V111" s="2"/>
      <c r="W111" s="2"/>
      <c r="X111" s="2"/>
    </row>
    <row r="112" ht="15.75" customHeight="1">
      <c r="R112" s="2"/>
      <c r="S112" s="2"/>
      <c r="T112" s="2"/>
      <c r="U112" s="2"/>
      <c r="V112" s="2"/>
      <c r="W112" s="2"/>
      <c r="X112" s="2"/>
    </row>
    <row r="113" ht="15.75" customHeight="1">
      <c r="R113" s="2"/>
      <c r="S113" s="2"/>
      <c r="T113" s="2"/>
      <c r="U113" s="2"/>
      <c r="V113" s="2"/>
      <c r="W113" s="2"/>
      <c r="X113" s="2"/>
    </row>
    <row r="114" ht="15.75" customHeight="1">
      <c r="R114" s="2"/>
      <c r="S114" s="2"/>
      <c r="T114" s="2"/>
      <c r="U114" s="2"/>
      <c r="V114" s="2"/>
      <c r="W114" s="2"/>
      <c r="X114" s="2"/>
    </row>
    <row r="115" ht="15.75" customHeight="1">
      <c r="R115" s="2"/>
      <c r="S115" s="2"/>
      <c r="T115" s="2"/>
      <c r="U115" s="2"/>
      <c r="V115" s="2"/>
      <c r="W115" s="2"/>
      <c r="X115" s="2"/>
    </row>
    <row r="116" ht="15.75" customHeight="1">
      <c r="R116" s="2"/>
      <c r="S116" s="2"/>
      <c r="T116" s="2"/>
      <c r="U116" s="2"/>
      <c r="V116" s="2"/>
      <c r="W116" s="2"/>
      <c r="X116" s="2"/>
    </row>
    <row r="117" ht="15.75" customHeight="1">
      <c r="R117" s="2"/>
      <c r="S117" s="2"/>
      <c r="T117" s="2"/>
      <c r="U117" s="2"/>
      <c r="V117" s="2"/>
      <c r="W117" s="2"/>
      <c r="X117" s="2"/>
    </row>
    <row r="118" ht="15.75" customHeight="1">
      <c r="R118" s="2"/>
      <c r="S118" s="2"/>
      <c r="T118" s="2"/>
      <c r="U118" s="2"/>
      <c r="V118" s="2"/>
      <c r="W118" s="2"/>
      <c r="X118" s="2"/>
    </row>
    <row r="119" ht="15.75" customHeight="1">
      <c r="R119" s="2"/>
      <c r="S119" s="2"/>
      <c r="T119" s="2"/>
      <c r="U119" s="2"/>
      <c r="V119" s="2"/>
      <c r="W119" s="2"/>
      <c r="X119" s="2"/>
    </row>
    <row r="120" ht="15.75" customHeight="1">
      <c r="R120" s="2"/>
      <c r="S120" s="2"/>
      <c r="T120" s="2"/>
      <c r="U120" s="2"/>
      <c r="V120" s="2"/>
      <c r="W120" s="2"/>
      <c r="X120" s="2"/>
    </row>
    <row r="121" ht="15.75" customHeight="1">
      <c r="R121" s="2"/>
      <c r="S121" s="2"/>
      <c r="T121" s="2"/>
      <c r="U121" s="2"/>
      <c r="V121" s="2"/>
      <c r="W121" s="2"/>
      <c r="X121" s="2"/>
    </row>
    <row r="122" ht="15.75" customHeight="1">
      <c r="R122" s="2"/>
      <c r="S122" s="2"/>
      <c r="T122" s="2"/>
      <c r="U122" s="2"/>
      <c r="V122" s="2"/>
      <c r="W122" s="2"/>
      <c r="X122" s="2"/>
    </row>
    <row r="123" ht="15.75" customHeight="1">
      <c r="R123" s="2"/>
      <c r="S123" s="2"/>
      <c r="T123" s="2"/>
      <c r="U123" s="2"/>
      <c r="V123" s="2"/>
      <c r="W123" s="2"/>
      <c r="X123" s="2"/>
    </row>
    <row r="124" ht="15.75" customHeight="1">
      <c r="R124" s="2"/>
      <c r="S124" s="2"/>
      <c r="T124" s="2"/>
      <c r="U124" s="2"/>
      <c r="V124" s="2"/>
      <c r="W124" s="2"/>
      <c r="X124" s="2"/>
    </row>
    <row r="125" ht="15.75" customHeight="1">
      <c r="R125" s="2"/>
      <c r="S125" s="2"/>
      <c r="T125" s="2"/>
      <c r="U125" s="2"/>
      <c r="V125" s="2"/>
      <c r="W125" s="2"/>
      <c r="X125" s="2"/>
    </row>
    <row r="126" ht="15.75" customHeight="1">
      <c r="R126" s="2"/>
      <c r="S126" s="2"/>
      <c r="T126" s="2"/>
      <c r="U126" s="2"/>
      <c r="V126" s="2"/>
      <c r="W126" s="2"/>
      <c r="X126" s="2"/>
    </row>
    <row r="127" ht="15.75" customHeight="1">
      <c r="R127" s="2"/>
      <c r="S127" s="2"/>
      <c r="T127" s="2"/>
      <c r="U127" s="2"/>
      <c r="V127" s="2"/>
      <c r="W127" s="2"/>
      <c r="X127" s="2"/>
    </row>
    <row r="128" ht="15.75" customHeight="1">
      <c r="R128" s="2"/>
      <c r="S128" s="2"/>
      <c r="T128" s="2"/>
      <c r="U128" s="2"/>
      <c r="V128" s="2"/>
      <c r="W128" s="2"/>
      <c r="X128" s="2"/>
    </row>
    <row r="129" ht="15.75" customHeight="1">
      <c r="R129" s="2"/>
      <c r="S129" s="2"/>
      <c r="T129" s="2"/>
      <c r="U129" s="2"/>
      <c r="V129" s="2"/>
      <c r="W129" s="2"/>
      <c r="X129" s="2"/>
    </row>
    <row r="130" ht="15.75" customHeight="1">
      <c r="R130" s="2"/>
      <c r="S130" s="2"/>
      <c r="T130" s="2"/>
      <c r="U130" s="2"/>
      <c r="V130" s="2"/>
      <c r="W130" s="2"/>
      <c r="X130" s="2"/>
    </row>
    <row r="131" ht="15.75" customHeight="1">
      <c r="R131" s="2"/>
      <c r="S131" s="2"/>
      <c r="T131" s="2"/>
      <c r="U131" s="2"/>
      <c r="V131" s="2"/>
      <c r="W131" s="2"/>
      <c r="X131" s="2"/>
    </row>
    <row r="132" ht="15.75" customHeight="1">
      <c r="R132" s="2"/>
      <c r="S132" s="2"/>
      <c r="T132" s="2"/>
      <c r="U132" s="2"/>
      <c r="V132" s="2"/>
      <c r="W132" s="2"/>
      <c r="X132" s="2"/>
    </row>
    <row r="133" ht="15.75" customHeight="1">
      <c r="R133" s="2"/>
      <c r="S133" s="2"/>
      <c r="T133" s="2"/>
      <c r="U133" s="2"/>
      <c r="V133" s="2"/>
      <c r="W133" s="2"/>
      <c r="X133" s="2"/>
    </row>
    <row r="134" ht="15.75" customHeight="1">
      <c r="R134" s="2"/>
      <c r="S134" s="2"/>
      <c r="T134" s="2"/>
      <c r="U134" s="2"/>
      <c r="V134" s="2"/>
      <c r="W134" s="2"/>
      <c r="X134" s="2"/>
    </row>
    <row r="135" ht="15.75" customHeight="1">
      <c r="R135" s="2"/>
      <c r="S135" s="2"/>
      <c r="T135" s="2"/>
      <c r="U135" s="2"/>
      <c r="V135" s="2"/>
      <c r="W135" s="2"/>
      <c r="X135" s="2"/>
    </row>
    <row r="136" ht="15.75" customHeight="1">
      <c r="R136" s="2"/>
      <c r="S136" s="2"/>
      <c r="T136" s="2"/>
      <c r="U136" s="2"/>
      <c r="V136" s="2"/>
      <c r="W136" s="2"/>
      <c r="X136" s="2"/>
    </row>
    <row r="137" ht="15.75" customHeight="1">
      <c r="R137" s="2"/>
      <c r="S137" s="2"/>
      <c r="T137" s="2"/>
      <c r="U137" s="2"/>
      <c r="V137" s="2"/>
      <c r="W137" s="2"/>
      <c r="X137" s="2"/>
    </row>
    <row r="138" ht="15.75" customHeight="1">
      <c r="R138" s="2"/>
      <c r="S138" s="2"/>
      <c r="T138" s="2"/>
      <c r="U138" s="2"/>
      <c r="V138" s="2"/>
      <c r="W138" s="2"/>
      <c r="X138" s="2"/>
    </row>
    <row r="139" ht="15.75" customHeight="1">
      <c r="R139" s="2"/>
      <c r="S139" s="2"/>
      <c r="T139" s="2"/>
      <c r="U139" s="2"/>
      <c r="V139" s="2"/>
      <c r="W139" s="2"/>
      <c r="X139" s="2"/>
    </row>
    <row r="140" ht="15.75" customHeight="1">
      <c r="R140" s="2"/>
      <c r="S140" s="2"/>
      <c r="T140" s="2"/>
      <c r="U140" s="2"/>
      <c r="V140" s="2"/>
      <c r="W140" s="2"/>
      <c r="X140" s="2"/>
    </row>
    <row r="141" ht="15.75" customHeight="1">
      <c r="R141" s="2"/>
      <c r="S141" s="2"/>
      <c r="T141" s="2"/>
      <c r="U141" s="2"/>
      <c r="V141" s="2"/>
      <c r="W141" s="2"/>
      <c r="X141" s="2"/>
    </row>
    <row r="142" ht="15.75" customHeight="1">
      <c r="R142" s="2"/>
      <c r="S142" s="2"/>
      <c r="T142" s="2"/>
      <c r="U142" s="2"/>
      <c r="V142" s="2"/>
      <c r="W142" s="2"/>
      <c r="X142" s="2"/>
    </row>
    <row r="143" ht="15.75" customHeight="1">
      <c r="R143" s="2"/>
      <c r="S143" s="2"/>
      <c r="T143" s="2"/>
      <c r="U143" s="2"/>
      <c r="V143" s="2"/>
      <c r="W143" s="2"/>
      <c r="X143" s="2"/>
    </row>
    <row r="144" ht="15.75" customHeight="1">
      <c r="R144" s="2"/>
      <c r="S144" s="2"/>
      <c r="T144" s="2"/>
      <c r="U144" s="2"/>
      <c r="V144" s="2"/>
      <c r="W144" s="2"/>
      <c r="X144" s="2"/>
    </row>
    <row r="145" ht="15.75" customHeight="1">
      <c r="R145" s="2"/>
      <c r="S145" s="2"/>
      <c r="T145" s="2"/>
      <c r="U145" s="2"/>
      <c r="V145" s="2"/>
      <c r="W145" s="2"/>
      <c r="X145" s="2"/>
    </row>
    <row r="146" ht="15.75" customHeight="1">
      <c r="R146" s="2"/>
      <c r="S146" s="2"/>
      <c r="T146" s="2"/>
      <c r="U146" s="2"/>
      <c r="V146" s="2"/>
      <c r="W146" s="2"/>
      <c r="X146" s="2"/>
    </row>
    <row r="147" ht="15.75" customHeight="1">
      <c r="R147" s="2"/>
      <c r="S147" s="2"/>
      <c r="T147" s="2"/>
      <c r="U147" s="2"/>
      <c r="V147" s="2"/>
      <c r="W147" s="2"/>
      <c r="X147" s="2"/>
    </row>
    <row r="148" ht="15.75" customHeight="1">
      <c r="R148" s="2"/>
      <c r="S148" s="2"/>
      <c r="T148" s="2"/>
      <c r="U148" s="2"/>
      <c r="V148" s="2"/>
      <c r="W148" s="2"/>
      <c r="X148" s="2"/>
    </row>
    <row r="149" ht="15.75" customHeight="1">
      <c r="R149" s="2"/>
      <c r="S149" s="2"/>
      <c r="T149" s="2"/>
      <c r="U149" s="2"/>
      <c r="V149" s="2"/>
      <c r="W149" s="2"/>
      <c r="X149" s="2"/>
    </row>
    <row r="150" ht="15.75" customHeight="1">
      <c r="R150" s="2"/>
      <c r="S150" s="2"/>
      <c r="T150" s="2"/>
      <c r="U150" s="2"/>
      <c r="V150" s="2"/>
      <c r="W150" s="2"/>
      <c r="X150" s="2"/>
    </row>
    <row r="151" ht="15.75" customHeight="1">
      <c r="R151" s="2"/>
      <c r="S151" s="2"/>
      <c r="T151" s="2"/>
      <c r="U151" s="2"/>
      <c r="V151" s="2"/>
      <c r="W151" s="2"/>
      <c r="X151" s="2"/>
    </row>
    <row r="152" ht="15.75" customHeight="1">
      <c r="R152" s="2"/>
      <c r="S152" s="2"/>
      <c r="T152" s="2"/>
      <c r="U152" s="2"/>
      <c r="V152" s="2"/>
      <c r="W152" s="2"/>
      <c r="X152" s="2"/>
    </row>
    <row r="153" ht="15.75" customHeight="1">
      <c r="R153" s="2"/>
      <c r="S153" s="2"/>
      <c r="T153" s="2"/>
      <c r="U153" s="2"/>
      <c r="V153" s="2"/>
      <c r="W153" s="2"/>
      <c r="X153" s="2"/>
    </row>
    <row r="154" ht="15.75" customHeight="1">
      <c r="R154" s="2"/>
      <c r="S154" s="2"/>
      <c r="T154" s="2"/>
      <c r="U154" s="2"/>
      <c r="V154" s="2"/>
      <c r="W154" s="2"/>
      <c r="X154" s="2"/>
    </row>
    <row r="155" ht="15.75" customHeight="1">
      <c r="R155" s="2"/>
      <c r="S155" s="2"/>
      <c r="T155" s="2"/>
      <c r="U155" s="2"/>
      <c r="V155" s="2"/>
      <c r="W155" s="2"/>
      <c r="X155" s="2"/>
    </row>
    <row r="156" ht="15.75" customHeight="1">
      <c r="R156" s="2"/>
      <c r="S156" s="2"/>
      <c r="T156" s="2"/>
      <c r="U156" s="2"/>
      <c r="V156" s="2"/>
      <c r="W156" s="2"/>
      <c r="X156" s="2"/>
    </row>
    <row r="157" ht="15.75" customHeight="1">
      <c r="R157" s="2"/>
      <c r="S157" s="2"/>
      <c r="T157" s="2"/>
      <c r="U157" s="2"/>
      <c r="V157" s="2"/>
      <c r="W157" s="2"/>
      <c r="X157" s="2"/>
    </row>
    <row r="158" ht="15.75" customHeight="1">
      <c r="R158" s="2"/>
      <c r="S158" s="2"/>
      <c r="T158" s="2"/>
      <c r="U158" s="2"/>
      <c r="V158" s="2"/>
      <c r="W158" s="2"/>
      <c r="X158" s="2"/>
    </row>
    <row r="159" ht="15.75" customHeight="1">
      <c r="R159" s="2"/>
      <c r="S159" s="2"/>
      <c r="T159" s="2"/>
      <c r="U159" s="2"/>
      <c r="V159" s="2"/>
      <c r="W159" s="2"/>
      <c r="X159" s="2"/>
    </row>
    <row r="160" ht="15.75" customHeight="1">
      <c r="R160" s="2"/>
      <c r="S160" s="2"/>
      <c r="T160" s="2"/>
      <c r="U160" s="2"/>
      <c r="V160" s="2"/>
      <c r="W160" s="2"/>
      <c r="X160" s="2"/>
    </row>
    <row r="161" ht="15.75" customHeight="1">
      <c r="R161" s="2"/>
      <c r="S161" s="2"/>
      <c r="T161" s="2"/>
      <c r="U161" s="2"/>
      <c r="V161" s="2"/>
      <c r="W161" s="2"/>
      <c r="X161" s="2"/>
    </row>
    <row r="162" ht="15.75" customHeight="1">
      <c r="R162" s="2"/>
      <c r="S162" s="2"/>
      <c r="T162" s="2"/>
      <c r="U162" s="2"/>
      <c r="V162" s="2"/>
      <c r="W162" s="2"/>
      <c r="X162" s="2"/>
    </row>
    <row r="163" ht="15.75" customHeight="1">
      <c r="R163" s="2"/>
      <c r="S163" s="2"/>
      <c r="T163" s="2"/>
      <c r="U163" s="2"/>
      <c r="V163" s="2"/>
      <c r="W163" s="2"/>
      <c r="X163" s="2"/>
    </row>
    <row r="164" ht="15.75" customHeight="1">
      <c r="R164" s="2"/>
      <c r="S164" s="2"/>
      <c r="T164" s="2"/>
      <c r="U164" s="2"/>
      <c r="V164" s="2"/>
      <c r="W164" s="2"/>
      <c r="X164" s="2"/>
    </row>
    <row r="165" ht="15.75" customHeight="1">
      <c r="R165" s="2"/>
      <c r="S165" s="2"/>
      <c r="T165" s="2"/>
      <c r="U165" s="2"/>
      <c r="V165" s="2"/>
      <c r="W165" s="2"/>
      <c r="X165" s="2"/>
    </row>
    <row r="166" ht="15.75" customHeight="1">
      <c r="R166" s="2"/>
      <c r="S166" s="2"/>
      <c r="T166" s="2"/>
      <c r="U166" s="2"/>
      <c r="V166" s="2"/>
      <c r="W166" s="2"/>
      <c r="X166" s="2"/>
    </row>
    <row r="167" ht="15.75" customHeight="1">
      <c r="R167" s="2"/>
      <c r="S167" s="2"/>
      <c r="T167" s="2"/>
      <c r="U167" s="2"/>
      <c r="V167" s="2"/>
      <c r="W167" s="2"/>
      <c r="X167" s="2"/>
    </row>
    <row r="168" ht="15.75" customHeight="1">
      <c r="R168" s="2"/>
      <c r="S168" s="2"/>
      <c r="T168" s="2"/>
      <c r="U168" s="2"/>
      <c r="V168" s="2"/>
      <c r="W168" s="2"/>
      <c r="X168" s="2"/>
    </row>
    <row r="169" ht="15.75" customHeight="1">
      <c r="R169" s="2"/>
      <c r="S169" s="2"/>
      <c r="T169" s="2"/>
      <c r="U169" s="2"/>
      <c r="V169" s="2"/>
      <c r="W169" s="2"/>
      <c r="X169" s="2"/>
    </row>
    <row r="170" ht="15.75" customHeight="1">
      <c r="R170" s="2"/>
      <c r="S170" s="2"/>
      <c r="T170" s="2"/>
      <c r="U170" s="2"/>
      <c r="V170" s="2"/>
      <c r="W170" s="2"/>
      <c r="X170" s="2"/>
    </row>
    <row r="171" ht="15.75" customHeight="1">
      <c r="R171" s="2"/>
      <c r="S171" s="2"/>
      <c r="T171" s="2"/>
      <c r="U171" s="2"/>
      <c r="V171" s="2"/>
      <c r="W171" s="2"/>
      <c r="X171" s="2"/>
    </row>
    <row r="172" ht="15.75" customHeight="1">
      <c r="R172" s="2"/>
      <c r="S172" s="2"/>
      <c r="T172" s="2"/>
      <c r="U172" s="2"/>
      <c r="V172" s="2"/>
      <c r="W172" s="2"/>
      <c r="X172" s="2"/>
    </row>
    <row r="173" ht="15.75" customHeight="1">
      <c r="R173" s="2"/>
      <c r="S173" s="2"/>
      <c r="T173" s="2"/>
      <c r="U173" s="2"/>
      <c r="V173" s="2"/>
      <c r="W173" s="2"/>
      <c r="X173" s="2"/>
    </row>
    <row r="174" ht="15.75" customHeight="1">
      <c r="R174" s="2"/>
      <c r="S174" s="2"/>
      <c r="T174" s="2"/>
      <c r="U174" s="2"/>
      <c r="V174" s="2"/>
      <c r="W174" s="2"/>
      <c r="X174" s="2"/>
    </row>
    <row r="175" ht="15.75" customHeight="1">
      <c r="R175" s="2"/>
      <c r="S175" s="2"/>
      <c r="T175" s="2"/>
      <c r="U175" s="2"/>
      <c r="V175" s="2"/>
      <c r="W175" s="2"/>
      <c r="X175" s="2"/>
    </row>
    <row r="176" ht="15.75" customHeight="1">
      <c r="R176" s="2"/>
      <c r="S176" s="2"/>
      <c r="T176" s="2"/>
      <c r="U176" s="2"/>
      <c r="V176" s="2"/>
      <c r="W176" s="2"/>
      <c r="X176" s="2"/>
    </row>
    <row r="177" ht="15.75" customHeight="1">
      <c r="R177" s="2"/>
      <c r="S177" s="2"/>
      <c r="T177" s="2"/>
      <c r="U177" s="2"/>
      <c r="V177" s="2"/>
      <c r="W177" s="2"/>
      <c r="X177" s="2"/>
    </row>
    <row r="178" ht="15.75" customHeight="1">
      <c r="R178" s="2"/>
      <c r="S178" s="2"/>
      <c r="T178" s="2"/>
      <c r="U178" s="2"/>
      <c r="V178" s="2"/>
      <c r="W178" s="2"/>
      <c r="X178" s="2"/>
    </row>
    <row r="179" ht="15.75" customHeight="1">
      <c r="R179" s="2"/>
      <c r="S179" s="2"/>
      <c r="T179" s="2"/>
      <c r="U179" s="2"/>
      <c r="V179" s="2"/>
      <c r="W179" s="2"/>
      <c r="X179" s="2"/>
    </row>
    <row r="180" ht="15.75" customHeight="1">
      <c r="R180" s="2"/>
      <c r="S180" s="2"/>
      <c r="T180" s="2"/>
      <c r="U180" s="2"/>
      <c r="V180" s="2"/>
      <c r="W180" s="2"/>
      <c r="X180" s="2"/>
    </row>
    <row r="181" ht="15.75" customHeight="1">
      <c r="R181" s="2"/>
      <c r="S181" s="2"/>
      <c r="T181" s="2"/>
      <c r="U181" s="2"/>
      <c r="V181" s="2"/>
      <c r="W181" s="2"/>
      <c r="X181" s="2"/>
    </row>
    <row r="182" ht="15.75" customHeight="1">
      <c r="R182" s="2"/>
      <c r="S182" s="2"/>
      <c r="T182" s="2"/>
      <c r="U182" s="2"/>
      <c r="V182" s="2"/>
      <c r="W182" s="2"/>
      <c r="X182" s="2"/>
    </row>
    <row r="183" ht="15.75" customHeight="1">
      <c r="R183" s="2"/>
      <c r="S183" s="2"/>
      <c r="T183" s="2"/>
      <c r="U183" s="2"/>
      <c r="V183" s="2"/>
      <c r="W183" s="2"/>
      <c r="X183" s="2"/>
    </row>
    <row r="184" ht="15.75" customHeight="1">
      <c r="R184" s="2"/>
      <c r="S184" s="2"/>
      <c r="T184" s="2"/>
      <c r="U184" s="2"/>
      <c r="V184" s="2"/>
      <c r="W184" s="2"/>
      <c r="X184" s="2"/>
    </row>
    <row r="185" ht="15.75" customHeight="1">
      <c r="R185" s="2"/>
      <c r="S185" s="2"/>
      <c r="T185" s="2"/>
      <c r="U185" s="2"/>
      <c r="V185" s="2"/>
      <c r="W185" s="2"/>
      <c r="X185" s="2"/>
    </row>
    <row r="186" ht="15.75" customHeight="1">
      <c r="R186" s="2"/>
      <c r="S186" s="2"/>
      <c r="T186" s="2"/>
      <c r="U186" s="2"/>
      <c r="V186" s="2"/>
      <c r="W186" s="2"/>
      <c r="X186" s="2"/>
    </row>
    <row r="187" ht="15.75" customHeight="1">
      <c r="R187" s="2"/>
      <c r="S187" s="2"/>
      <c r="T187" s="2"/>
      <c r="U187" s="2"/>
      <c r="V187" s="2"/>
      <c r="W187" s="2"/>
      <c r="X187" s="2"/>
    </row>
    <row r="188" ht="15.75" customHeight="1">
      <c r="R188" s="2"/>
      <c r="S188" s="2"/>
      <c r="T188" s="2"/>
      <c r="U188" s="2"/>
      <c r="V188" s="2"/>
      <c r="W188" s="2"/>
      <c r="X188" s="2"/>
    </row>
    <row r="189" ht="15.75" customHeight="1">
      <c r="R189" s="2"/>
      <c r="S189" s="2"/>
      <c r="T189" s="2"/>
      <c r="U189" s="2"/>
      <c r="V189" s="2"/>
      <c r="W189" s="2"/>
      <c r="X189" s="2"/>
    </row>
    <row r="190" ht="15.75" customHeight="1">
      <c r="R190" s="2"/>
      <c r="S190" s="2"/>
      <c r="T190" s="2"/>
      <c r="U190" s="2"/>
      <c r="V190" s="2"/>
      <c r="W190" s="2"/>
      <c r="X190" s="2"/>
    </row>
    <row r="191" ht="15.75" customHeight="1">
      <c r="R191" s="2"/>
      <c r="S191" s="2"/>
      <c r="T191" s="2"/>
      <c r="U191" s="2"/>
      <c r="V191" s="2"/>
      <c r="W191" s="2"/>
      <c r="X191" s="2"/>
    </row>
    <row r="192" ht="15.75" customHeight="1">
      <c r="R192" s="2"/>
      <c r="S192" s="2"/>
      <c r="T192" s="2"/>
      <c r="U192" s="2"/>
      <c r="V192" s="2"/>
      <c r="W192" s="2"/>
      <c r="X192" s="2"/>
    </row>
    <row r="193" ht="15.75" customHeight="1">
      <c r="R193" s="2"/>
      <c r="S193" s="2"/>
      <c r="T193" s="2"/>
      <c r="U193" s="2"/>
      <c r="V193" s="2"/>
      <c r="W193" s="2"/>
      <c r="X193" s="2"/>
    </row>
    <row r="194" ht="15.75" customHeight="1">
      <c r="R194" s="2"/>
      <c r="S194" s="2"/>
      <c r="T194" s="2"/>
      <c r="U194" s="2"/>
      <c r="V194" s="2"/>
      <c r="W194" s="2"/>
      <c r="X194" s="2"/>
    </row>
    <row r="195" ht="15.75" customHeight="1">
      <c r="R195" s="2"/>
      <c r="S195" s="2"/>
      <c r="T195" s="2"/>
      <c r="U195" s="2"/>
      <c r="V195" s="2"/>
      <c r="W195" s="2"/>
      <c r="X195" s="2"/>
    </row>
    <row r="196" ht="15.75" customHeight="1">
      <c r="R196" s="2"/>
      <c r="S196" s="2"/>
      <c r="T196" s="2"/>
      <c r="U196" s="2"/>
      <c r="V196" s="2"/>
      <c r="W196" s="2"/>
      <c r="X196" s="2"/>
    </row>
    <row r="197" ht="15.75" customHeight="1">
      <c r="R197" s="2"/>
      <c r="S197" s="2"/>
      <c r="T197" s="2"/>
      <c r="U197" s="2"/>
      <c r="V197" s="2"/>
      <c r="W197" s="2"/>
      <c r="X197" s="2"/>
    </row>
    <row r="198" ht="15.75" customHeight="1">
      <c r="R198" s="2"/>
      <c r="S198" s="2"/>
      <c r="T198" s="2"/>
      <c r="U198" s="2"/>
      <c r="V198" s="2"/>
      <c r="W198" s="2"/>
      <c r="X198" s="2"/>
    </row>
    <row r="199" ht="15.75" customHeight="1">
      <c r="R199" s="2"/>
      <c r="S199" s="2"/>
      <c r="T199" s="2"/>
      <c r="U199" s="2"/>
      <c r="V199" s="2"/>
      <c r="W199" s="2"/>
      <c r="X199" s="2"/>
    </row>
    <row r="200" ht="15.75" customHeight="1">
      <c r="R200" s="2"/>
      <c r="S200" s="2"/>
      <c r="T200" s="2"/>
      <c r="U200" s="2"/>
      <c r="V200" s="2"/>
      <c r="W200" s="2"/>
      <c r="X200" s="2"/>
    </row>
    <row r="201" ht="15.75" customHeight="1">
      <c r="R201" s="2"/>
      <c r="S201" s="2"/>
      <c r="T201" s="2"/>
      <c r="U201" s="2"/>
      <c r="V201" s="2"/>
      <c r="W201" s="2"/>
      <c r="X201" s="2"/>
    </row>
    <row r="202" ht="15.75" customHeight="1">
      <c r="R202" s="2"/>
      <c r="S202" s="2"/>
      <c r="T202" s="2"/>
      <c r="U202" s="2"/>
      <c r="V202" s="2"/>
      <c r="W202" s="2"/>
      <c r="X202" s="2"/>
    </row>
    <row r="203" ht="15.75" customHeight="1">
      <c r="R203" s="2"/>
      <c r="S203" s="2"/>
      <c r="T203" s="2"/>
      <c r="U203" s="2"/>
      <c r="V203" s="2"/>
      <c r="W203" s="2"/>
      <c r="X203" s="2"/>
    </row>
    <row r="204" ht="15.75" customHeight="1">
      <c r="R204" s="2"/>
      <c r="S204" s="2"/>
      <c r="T204" s="2"/>
      <c r="U204" s="2"/>
      <c r="V204" s="2"/>
      <c r="W204" s="2"/>
      <c r="X204" s="2"/>
    </row>
    <row r="205" ht="15.75" customHeight="1">
      <c r="R205" s="2"/>
      <c r="S205" s="2"/>
      <c r="T205" s="2"/>
      <c r="U205" s="2"/>
      <c r="V205" s="2"/>
      <c r="W205" s="2"/>
      <c r="X205" s="2"/>
    </row>
    <row r="206" ht="15.75" customHeight="1">
      <c r="R206" s="2"/>
      <c r="S206" s="2"/>
      <c r="T206" s="2"/>
      <c r="U206" s="2"/>
      <c r="V206" s="2"/>
      <c r="W206" s="2"/>
      <c r="X206" s="2"/>
    </row>
    <row r="207" ht="15.75" customHeight="1">
      <c r="R207" s="2"/>
      <c r="S207" s="2"/>
      <c r="T207" s="2"/>
      <c r="U207" s="2"/>
      <c r="V207" s="2"/>
      <c r="W207" s="2"/>
      <c r="X207" s="2"/>
    </row>
    <row r="208" ht="15.75" customHeight="1">
      <c r="R208" s="2"/>
      <c r="S208" s="2"/>
      <c r="T208" s="2"/>
      <c r="U208" s="2"/>
      <c r="V208" s="2"/>
      <c r="W208" s="2"/>
      <c r="X208" s="2"/>
    </row>
    <row r="209" ht="15.75" customHeight="1">
      <c r="R209" s="2"/>
      <c r="S209" s="2"/>
      <c r="T209" s="2"/>
      <c r="U209" s="2"/>
      <c r="V209" s="2"/>
      <c r="W209" s="2"/>
      <c r="X209" s="2"/>
    </row>
    <row r="210" ht="15.75" customHeight="1">
      <c r="R210" s="2"/>
      <c r="S210" s="2"/>
      <c r="T210" s="2"/>
      <c r="U210" s="2"/>
      <c r="V210" s="2"/>
      <c r="W210" s="2"/>
      <c r="X210" s="2"/>
    </row>
    <row r="211" ht="15.75" customHeight="1">
      <c r="R211" s="2"/>
      <c r="S211" s="2"/>
      <c r="T211" s="2"/>
      <c r="U211" s="2"/>
      <c r="V211" s="2"/>
      <c r="W211" s="2"/>
      <c r="X211" s="2"/>
    </row>
    <row r="212" ht="15.75" customHeight="1">
      <c r="R212" s="2"/>
      <c r="S212" s="2"/>
      <c r="T212" s="2"/>
      <c r="U212" s="2"/>
      <c r="V212" s="2"/>
      <c r="W212" s="2"/>
      <c r="X212" s="2"/>
    </row>
    <row r="213" ht="15.75" customHeight="1">
      <c r="R213" s="2"/>
      <c r="S213" s="2"/>
      <c r="T213" s="2"/>
      <c r="U213" s="2"/>
      <c r="V213" s="2"/>
      <c r="W213" s="2"/>
      <c r="X213" s="2"/>
    </row>
    <row r="214" ht="15.75" customHeight="1">
      <c r="R214" s="2"/>
      <c r="S214" s="2"/>
      <c r="T214" s="2"/>
      <c r="U214" s="2"/>
      <c r="V214" s="2"/>
      <c r="W214" s="2"/>
      <c r="X214" s="2"/>
    </row>
    <row r="215" ht="15.75" customHeight="1">
      <c r="R215" s="2"/>
      <c r="S215" s="2"/>
      <c r="T215" s="2"/>
      <c r="U215" s="2"/>
      <c r="V215" s="2"/>
      <c r="W215" s="2"/>
      <c r="X215" s="2"/>
    </row>
    <row r="216" ht="15.75" customHeight="1">
      <c r="R216" s="2"/>
      <c r="S216" s="2"/>
      <c r="T216" s="2"/>
      <c r="U216" s="2"/>
      <c r="V216" s="2"/>
      <c r="W216" s="2"/>
      <c r="X216" s="2"/>
    </row>
    <row r="217" ht="15.75" customHeight="1">
      <c r="R217" s="2"/>
      <c r="S217" s="2"/>
      <c r="T217" s="2"/>
      <c r="U217" s="2"/>
      <c r="V217" s="2"/>
      <c r="W217" s="2"/>
      <c r="X217" s="2"/>
    </row>
    <row r="218" ht="15.75" customHeight="1">
      <c r="R218" s="2"/>
      <c r="S218" s="2"/>
      <c r="T218" s="2"/>
      <c r="U218" s="2"/>
      <c r="V218" s="2"/>
      <c r="W218" s="2"/>
      <c r="X218" s="2"/>
    </row>
    <row r="219" ht="15.75" customHeight="1">
      <c r="R219" s="2"/>
      <c r="S219" s="2"/>
      <c r="T219" s="2"/>
      <c r="U219" s="2"/>
      <c r="V219" s="2"/>
      <c r="W219" s="2"/>
      <c r="X219" s="2"/>
    </row>
    <row r="220" ht="15.75" customHeight="1">
      <c r="R220" s="2"/>
      <c r="S220" s="2"/>
      <c r="T220" s="2"/>
      <c r="U220" s="2"/>
      <c r="V220" s="2"/>
      <c r="W220" s="2"/>
      <c r="X220" s="2"/>
    </row>
    <row r="221" ht="15.75" customHeight="1">
      <c r="R221" s="2"/>
      <c r="S221" s="2"/>
      <c r="T221" s="2"/>
      <c r="U221" s="2"/>
      <c r="V221" s="2"/>
      <c r="W221" s="2"/>
      <c r="X221" s="2"/>
    </row>
    <row r="222" ht="15.75" customHeight="1">
      <c r="R222" s="2"/>
      <c r="S222" s="2"/>
      <c r="T222" s="2"/>
      <c r="U222" s="2"/>
      <c r="V222" s="2"/>
      <c r="W222" s="2"/>
      <c r="X222" s="2"/>
    </row>
    <row r="223" ht="15.75" customHeight="1">
      <c r="R223" s="2"/>
      <c r="S223" s="2"/>
      <c r="T223" s="2"/>
      <c r="U223" s="2"/>
      <c r="V223" s="2"/>
      <c r="W223" s="2"/>
      <c r="X223" s="2"/>
    </row>
    <row r="224" ht="15.75" customHeight="1">
      <c r="R224" s="2"/>
      <c r="S224" s="2"/>
      <c r="T224" s="2"/>
      <c r="U224" s="2"/>
      <c r="V224" s="2"/>
      <c r="W224" s="2"/>
      <c r="X224" s="2"/>
    </row>
    <row r="225" ht="15.75" customHeight="1">
      <c r="R225" s="2"/>
      <c r="S225" s="2"/>
      <c r="T225" s="2"/>
      <c r="U225" s="2"/>
      <c r="V225" s="2"/>
      <c r="W225" s="2"/>
      <c r="X225" s="2"/>
    </row>
    <row r="226" ht="15.75" customHeight="1">
      <c r="R226" s="2"/>
      <c r="S226" s="2"/>
      <c r="T226" s="2"/>
      <c r="U226" s="2"/>
      <c r="V226" s="2"/>
      <c r="W226" s="2"/>
      <c r="X226" s="2"/>
    </row>
    <row r="227" ht="15.75" customHeight="1">
      <c r="R227" s="2"/>
      <c r="S227" s="2"/>
      <c r="T227" s="2"/>
      <c r="U227" s="2"/>
      <c r="V227" s="2"/>
      <c r="W227" s="2"/>
      <c r="X227" s="2"/>
    </row>
    <row r="228" ht="15.75" customHeight="1">
      <c r="R228" s="2"/>
      <c r="S228" s="2"/>
      <c r="T228" s="2"/>
      <c r="U228" s="2"/>
      <c r="V228" s="2"/>
      <c r="W228" s="2"/>
      <c r="X228" s="2"/>
    </row>
    <row r="229" ht="15.75" customHeight="1">
      <c r="R229" s="2"/>
      <c r="S229" s="2"/>
      <c r="T229" s="2"/>
      <c r="U229" s="2"/>
      <c r="V229" s="2"/>
      <c r="W229" s="2"/>
      <c r="X229" s="2"/>
    </row>
    <row r="230" ht="15.75" customHeight="1">
      <c r="R230" s="2"/>
      <c r="S230" s="2"/>
      <c r="T230" s="2"/>
      <c r="U230" s="2"/>
      <c r="V230" s="2"/>
      <c r="W230" s="2"/>
      <c r="X230" s="2"/>
    </row>
    <row r="231" ht="15.75" customHeight="1">
      <c r="R231" s="2"/>
      <c r="S231" s="2"/>
      <c r="T231" s="2"/>
      <c r="U231" s="2"/>
      <c r="V231" s="2"/>
      <c r="W231" s="2"/>
      <c r="X231" s="2"/>
    </row>
    <row r="232" ht="15.75" customHeight="1">
      <c r="R232" s="2"/>
      <c r="S232" s="2"/>
      <c r="T232" s="2"/>
      <c r="U232" s="2"/>
      <c r="V232" s="2"/>
      <c r="W232" s="2"/>
      <c r="X232" s="2"/>
    </row>
    <row r="233" ht="15.75" customHeight="1">
      <c r="R233" s="2"/>
      <c r="S233" s="2"/>
      <c r="T233" s="2"/>
      <c r="U233" s="2"/>
      <c r="V233" s="2"/>
      <c r="W233" s="2"/>
      <c r="X233" s="2"/>
    </row>
    <row r="234" ht="15.75" customHeight="1">
      <c r="R234" s="2"/>
      <c r="S234" s="2"/>
      <c r="T234" s="2"/>
      <c r="U234" s="2"/>
      <c r="V234" s="2"/>
      <c r="W234" s="2"/>
      <c r="X234" s="2"/>
    </row>
    <row r="235" ht="15.75" customHeight="1">
      <c r="R235" s="2"/>
      <c r="S235" s="2"/>
      <c r="T235" s="2"/>
      <c r="U235" s="2"/>
      <c r="V235" s="2"/>
      <c r="W235" s="2"/>
      <c r="X235" s="2"/>
    </row>
    <row r="236" ht="15.75" customHeight="1">
      <c r="R236" s="2"/>
      <c r="S236" s="2"/>
      <c r="T236" s="2"/>
      <c r="U236" s="2"/>
      <c r="V236" s="2"/>
      <c r="W236" s="2"/>
      <c r="X236" s="2"/>
    </row>
    <row r="237" ht="15.75" customHeight="1">
      <c r="R237" s="2"/>
      <c r="S237" s="2"/>
      <c r="T237" s="2"/>
      <c r="U237" s="2"/>
      <c r="V237" s="2"/>
      <c r="W237" s="2"/>
      <c r="X237" s="2"/>
    </row>
    <row r="238" ht="15.75" customHeight="1">
      <c r="R238" s="2"/>
      <c r="S238" s="2"/>
      <c r="T238" s="2"/>
      <c r="U238" s="2"/>
      <c r="V238" s="2"/>
      <c r="W238" s="2"/>
      <c r="X238" s="2"/>
    </row>
    <row r="239" ht="15.75" customHeight="1">
      <c r="R239" s="2"/>
      <c r="S239" s="2"/>
      <c r="T239" s="2"/>
      <c r="U239" s="2"/>
      <c r="V239" s="2"/>
      <c r="W239" s="2"/>
      <c r="X239" s="2"/>
    </row>
    <row r="240" ht="15.75" customHeight="1">
      <c r="R240" s="2"/>
      <c r="S240" s="2"/>
      <c r="T240" s="2"/>
      <c r="U240" s="2"/>
      <c r="V240" s="2"/>
      <c r="W240" s="2"/>
      <c r="X240" s="2"/>
    </row>
    <row r="241" ht="15.75" customHeight="1">
      <c r="R241" s="2"/>
      <c r="S241" s="2"/>
      <c r="T241" s="2"/>
      <c r="U241" s="2"/>
      <c r="V241" s="2"/>
      <c r="W241" s="2"/>
      <c r="X241" s="2"/>
    </row>
    <row r="242" ht="15.75" customHeight="1">
      <c r="R242" s="2"/>
      <c r="S242" s="2"/>
      <c r="T242" s="2"/>
      <c r="U242" s="2"/>
      <c r="V242" s="2"/>
      <c r="W242" s="2"/>
      <c r="X242" s="2"/>
    </row>
    <row r="243" ht="15.75" customHeight="1">
      <c r="R243" s="2"/>
      <c r="S243" s="2"/>
      <c r="T243" s="2"/>
      <c r="U243" s="2"/>
      <c r="V243" s="2"/>
      <c r="W243" s="2"/>
      <c r="X243" s="2"/>
    </row>
    <row r="244" ht="15.75" customHeight="1">
      <c r="R244" s="2"/>
      <c r="S244" s="2"/>
      <c r="T244" s="2"/>
      <c r="U244" s="2"/>
      <c r="V244" s="2"/>
      <c r="W244" s="2"/>
      <c r="X244" s="2"/>
    </row>
    <row r="245" ht="15.75" customHeight="1">
      <c r="R245" s="2"/>
      <c r="S245" s="2"/>
      <c r="T245" s="2"/>
      <c r="U245" s="2"/>
      <c r="V245" s="2"/>
      <c r="W245" s="2"/>
      <c r="X245" s="2"/>
    </row>
    <row r="246" ht="15.75" customHeight="1">
      <c r="R246" s="2"/>
      <c r="S246" s="2"/>
      <c r="T246" s="2"/>
      <c r="U246" s="2"/>
      <c r="V246" s="2"/>
      <c r="W246" s="2"/>
      <c r="X246" s="2"/>
    </row>
    <row r="247" ht="15.75" customHeight="1">
      <c r="R247" s="2"/>
      <c r="S247" s="2"/>
      <c r="T247" s="2"/>
      <c r="U247" s="2"/>
      <c r="V247" s="2"/>
      <c r="W247" s="2"/>
      <c r="X247" s="2"/>
    </row>
    <row r="248" ht="15.75" customHeight="1">
      <c r="R248" s="2"/>
      <c r="S248" s="2"/>
      <c r="T248" s="2"/>
      <c r="U248" s="2"/>
      <c r="V248" s="2"/>
      <c r="W248" s="2"/>
      <c r="X248" s="2"/>
    </row>
    <row r="249" ht="15.75" customHeight="1">
      <c r="R249" s="2"/>
      <c r="S249" s="2"/>
      <c r="T249" s="2"/>
      <c r="U249" s="2"/>
      <c r="V249" s="2"/>
      <c r="W249" s="2"/>
      <c r="X249" s="2"/>
    </row>
    <row r="250" ht="15.75" customHeight="1">
      <c r="R250" s="2"/>
      <c r="S250" s="2"/>
      <c r="T250" s="2"/>
      <c r="U250" s="2"/>
      <c r="V250" s="2"/>
      <c r="W250" s="2"/>
      <c r="X250" s="2"/>
    </row>
    <row r="251" ht="15.75" customHeight="1">
      <c r="R251" s="2"/>
      <c r="S251" s="2"/>
      <c r="T251" s="2"/>
      <c r="U251" s="2"/>
      <c r="V251" s="2"/>
      <c r="W251" s="2"/>
      <c r="X251" s="2"/>
    </row>
    <row r="252" ht="15.75" customHeight="1">
      <c r="R252" s="2"/>
      <c r="S252" s="2"/>
      <c r="T252" s="2"/>
      <c r="U252" s="2"/>
      <c r="V252" s="2"/>
      <c r="W252" s="2"/>
      <c r="X252" s="2"/>
    </row>
    <row r="253" ht="15.75" customHeight="1">
      <c r="R253" s="2"/>
      <c r="S253" s="2"/>
      <c r="T253" s="2"/>
      <c r="U253" s="2"/>
      <c r="V253" s="2"/>
      <c r="W253" s="2"/>
      <c r="X253" s="2"/>
    </row>
    <row r="254" ht="15.75" customHeight="1">
      <c r="R254" s="2"/>
      <c r="S254" s="2"/>
      <c r="T254" s="2"/>
      <c r="U254" s="2"/>
      <c r="V254" s="2"/>
      <c r="W254" s="2"/>
      <c r="X254" s="2"/>
    </row>
    <row r="255" ht="15.75" customHeight="1">
      <c r="R255" s="2"/>
      <c r="S255" s="2"/>
      <c r="T255" s="2"/>
      <c r="U255" s="2"/>
      <c r="V255" s="2"/>
      <c r="W255" s="2"/>
      <c r="X255" s="2"/>
    </row>
    <row r="256" ht="15.75" customHeight="1">
      <c r="R256" s="2"/>
      <c r="S256" s="2"/>
      <c r="T256" s="2"/>
      <c r="U256" s="2"/>
      <c r="V256" s="2"/>
      <c r="W256" s="2"/>
      <c r="X256" s="2"/>
    </row>
    <row r="257" ht="15.75" customHeight="1">
      <c r="R257" s="2"/>
      <c r="S257" s="2"/>
      <c r="T257" s="2"/>
      <c r="U257" s="2"/>
      <c r="V257" s="2"/>
      <c r="W257" s="2"/>
      <c r="X257" s="2"/>
    </row>
    <row r="258" ht="15.75" customHeight="1">
      <c r="R258" s="2"/>
      <c r="S258" s="2"/>
      <c r="T258" s="2"/>
      <c r="U258" s="2"/>
      <c r="V258" s="2"/>
      <c r="W258" s="2"/>
      <c r="X258" s="2"/>
    </row>
    <row r="259" ht="15.75" customHeight="1">
      <c r="R259" s="2"/>
      <c r="S259" s="2"/>
      <c r="T259" s="2"/>
      <c r="U259" s="2"/>
      <c r="V259" s="2"/>
      <c r="W259" s="2"/>
      <c r="X259" s="2"/>
    </row>
    <row r="260" ht="15.75" customHeight="1">
      <c r="R260" s="2"/>
      <c r="S260" s="2"/>
      <c r="T260" s="2"/>
      <c r="U260" s="2"/>
      <c r="V260" s="2"/>
      <c r="W260" s="2"/>
      <c r="X260" s="2"/>
    </row>
    <row r="261" ht="15.75" customHeight="1">
      <c r="R261" s="2"/>
      <c r="S261" s="2"/>
      <c r="T261" s="2"/>
      <c r="U261" s="2"/>
      <c r="V261" s="2"/>
      <c r="W261" s="2"/>
      <c r="X261" s="2"/>
    </row>
    <row r="262" ht="15.75" customHeight="1">
      <c r="R262" s="2"/>
      <c r="S262" s="2"/>
      <c r="T262" s="2"/>
      <c r="U262" s="2"/>
      <c r="V262" s="2"/>
      <c r="W262" s="2"/>
      <c r="X262" s="2"/>
    </row>
    <row r="263" ht="15.75" customHeight="1">
      <c r="R263" s="2"/>
      <c r="S263" s="2"/>
      <c r="T263" s="2"/>
      <c r="U263" s="2"/>
      <c r="V263" s="2"/>
      <c r="W263" s="2"/>
      <c r="X263" s="2"/>
    </row>
    <row r="264" ht="15.75" customHeight="1">
      <c r="R264" s="2"/>
      <c r="S264" s="2"/>
      <c r="T264" s="2"/>
      <c r="U264" s="2"/>
      <c r="V264" s="2"/>
      <c r="W264" s="2"/>
      <c r="X264" s="2"/>
    </row>
    <row r="265" ht="15.75" customHeight="1">
      <c r="R265" s="2"/>
      <c r="S265" s="2"/>
      <c r="T265" s="2"/>
      <c r="U265" s="2"/>
      <c r="V265" s="2"/>
      <c r="W265" s="2"/>
      <c r="X265" s="2"/>
    </row>
    <row r="266" ht="15.75" customHeight="1">
      <c r="R266" s="2"/>
      <c r="S266" s="2"/>
      <c r="T266" s="2"/>
      <c r="U266" s="2"/>
      <c r="V266" s="2"/>
      <c r="W266" s="2"/>
      <c r="X266" s="2"/>
    </row>
    <row r="267" ht="15.75" customHeight="1">
      <c r="R267" s="2"/>
      <c r="S267" s="2"/>
      <c r="T267" s="2"/>
      <c r="U267" s="2"/>
      <c r="V267" s="2"/>
      <c r="W267" s="2"/>
      <c r="X267" s="2"/>
    </row>
    <row r="268" ht="15.75" customHeight="1">
      <c r="R268" s="2"/>
      <c r="S268" s="2"/>
      <c r="T268" s="2"/>
      <c r="U268" s="2"/>
      <c r="V268" s="2"/>
      <c r="W268" s="2"/>
      <c r="X268" s="2"/>
    </row>
    <row r="269" ht="15.75" customHeight="1">
      <c r="R269" s="2"/>
      <c r="S269" s="2"/>
      <c r="T269" s="2"/>
      <c r="U269" s="2"/>
      <c r="V269" s="2"/>
      <c r="W269" s="2"/>
      <c r="X269" s="2"/>
    </row>
    <row r="270" ht="15.75" customHeight="1">
      <c r="R270" s="2"/>
      <c r="S270" s="2"/>
      <c r="T270" s="2"/>
      <c r="U270" s="2"/>
      <c r="V270" s="2"/>
      <c r="W270" s="2"/>
      <c r="X270" s="2"/>
    </row>
    <row r="271" ht="15.75" customHeight="1">
      <c r="R271" s="2"/>
      <c r="S271" s="2"/>
      <c r="T271" s="2"/>
      <c r="U271" s="2"/>
      <c r="V271" s="2"/>
      <c r="W271" s="2"/>
      <c r="X271" s="2"/>
    </row>
    <row r="272" ht="15.75" customHeight="1">
      <c r="R272" s="2"/>
      <c r="S272" s="2"/>
      <c r="T272" s="2"/>
      <c r="U272" s="2"/>
      <c r="V272" s="2"/>
      <c r="W272" s="2"/>
      <c r="X272" s="2"/>
    </row>
    <row r="273" ht="15.75" customHeight="1">
      <c r="R273" s="2"/>
      <c r="S273" s="2"/>
      <c r="T273" s="2"/>
      <c r="U273" s="2"/>
      <c r="V273" s="2"/>
      <c r="W273" s="2"/>
      <c r="X273" s="2"/>
    </row>
    <row r="274" ht="15.75" customHeight="1">
      <c r="R274" s="2"/>
      <c r="S274" s="2"/>
      <c r="T274" s="2"/>
      <c r="U274" s="2"/>
      <c r="V274" s="2"/>
      <c r="W274" s="2"/>
      <c r="X274" s="2"/>
    </row>
    <row r="275" ht="15.75" customHeight="1">
      <c r="R275" s="2"/>
      <c r="S275" s="2"/>
      <c r="T275" s="2"/>
      <c r="U275" s="2"/>
      <c r="V275" s="2"/>
      <c r="W275" s="2"/>
      <c r="X275" s="2"/>
    </row>
    <row r="276" ht="15.75" customHeight="1">
      <c r="R276" s="2"/>
      <c r="S276" s="2"/>
      <c r="T276" s="2"/>
      <c r="U276" s="2"/>
      <c r="V276" s="2"/>
      <c r="W276" s="2"/>
      <c r="X276" s="2"/>
    </row>
    <row r="277" ht="15.75" customHeight="1">
      <c r="R277" s="2"/>
      <c r="S277" s="2"/>
      <c r="T277" s="2"/>
      <c r="U277" s="2"/>
      <c r="V277" s="2"/>
      <c r="W277" s="2"/>
      <c r="X277" s="2"/>
    </row>
    <row r="278" ht="15.75" customHeight="1">
      <c r="R278" s="2"/>
      <c r="S278" s="2"/>
      <c r="T278" s="2"/>
      <c r="U278" s="2"/>
      <c r="V278" s="2"/>
      <c r="W278" s="2"/>
      <c r="X278" s="2"/>
    </row>
    <row r="279" ht="15.75" customHeight="1">
      <c r="R279" s="2"/>
      <c r="S279" s="2"/>
      <c r="T279" s="2"/>
      <c r="U279" s="2"/>
      <c r="V279" s="2"/>
      <c r="W279" s="2"/>
      <c r="X279" s="2"/>
    </row>
    <row r="280" ht="15.75" customHeight="1">
      <c r="R280" s="2"/>
      <c r="S280" s="2"/>
      <c r="T280" s="2"/>
      <c r="U280" s="2"/>
      <c r="V280" s="2"/>
      <c r="W280" s="2"/>
      <c r="X280" s="2"/>
    </row>
    <row r="281" ht="15.75" customHeight="1">
      <c r="R281" s="2"/>
      <c r="S281" s="2"/>
      <c r="T281" s="2"/>
      <c r="U281" s="2"/>
      <c r="V281" s="2"/>
      <c r="W281" s="2"/>
      <c r="X281" s="2"/>
    </row>
    <row r="282" ht="15.75" customHeight="1">
      <c r="R282" s="2"/>
      <c r="S282" s="2"/>
      <c r="T282" s="2"/>
      <c r="U282" s="2"/>
      <c r="V282" s="2"/>
      <c r="W282" s="2"/>
      <c r="X282" s="2"/>
    </row>
    <row r="283" ht="15.75" customHeight="1">
      <c r="R283" s="2"/>
      <c r="S283" s="2"/>
      <c r="T283" s="2"/>
      <c r="U283" s="2"/>
      <c r="V283" s="2"/>
      <c r="W283" s="2"/>
      <c r="X283" s="2"/>
    </row>
    <row r="284" ht="15.75" customHeight="1">
      <c r="R284" s="2"/>
      <c r="S284" s="2"/>
      <c r="T284" s="2"/>
      <c r="U284" s="2"/>
      <c r="V284" s="2"/>
      <c r="W284" s="2"/>
      <c r="X284" s="2"/>
    </row>
    <row r="285" ht="15.75" customHeight="1">
      <c r="R285" s="2"/>
      <c r="S285" s="2"/>
      <c r="T285" s="2"/>
      <c r="U285" s="2"/>
      <c r="V285" s="2"/>
      <c r="W285" s="2"/>
      <c r="X285" s="2"/>
    </row>
    <row r="286" ht="15.75" customHeight="1">
      <c r="R286" s="2"/>
      <c r="S286" s="2"/>
      <c r="T286" s="2"/>
      <c r="U286" s="2"/>
      <c r="V286" s="2"/>
      <c r="W286" s="2"/>
      <c r="X286" s="2"/>
    </row>
    <row r="287" ht="15.75" customHeight="1">
      <c r="R287" s="2"/>
      <c r="S287" s="2"/>
      <c r="T287" s="2"/>
      <c r="U287" s="2"/>
      <c r="V287" s="2"/>
      <c r="W287" s="2"/>
      <c r="X287" s="2"/>
    </row>
    <row r="288" ht="15.75" customHeight="1">
      <c r="R288" s="2"/>
      <c r="S288" s="2"/>
      <c r="T288" s="2"/>
      <c r="U288" s="2"/>
      <c r="V288" s="2"/>
      <c r="W288" s="2"/>
      <c r="X288" s="2"/>
    </row>
    <row r="289" ht="15.75" customHeight="1">
      <c r="R289" s="2"/>
      <c r="S289" s="2"/>
      <c r="T289" s="2"/>
      <c r="U289" s="2"/>
      <c r="V289" s="2"/>
      <c r="W289" s="2"/>
      <c r="X289" s="2"/>
    </row>
    <row r="290" ht="15.75" customHeight="1">
      <c r="R290" s="2"/>
      <c r="S290" s="2"/>
      <c r="T290" s="2"/>
      <c r="U290" s="2"/>
      <c r="V290" s="2"/>
      <c r="W290" s="2"/>
      <c r="X290" s="2"/>
    </row>
    <row r="291" ht="15.75" customHeight="1">
      <c r="R291" s="2"/>
      <c r="S291" s="2"/>
      <c r="T291" s="2"/>
      <c r="U291" s="2"/>
      <c r="V291" s="2"/>
      <c r="W291" s="2"/>
      <c r="X291" s="2"/>
    </row>
    <row r="292" ht="15.75" customHeight="1">
      <c r="R292" s="2"/>
      <c r="S292" s="2"/>
      <c r="T292" s="2"/>
      <c r="U292" s="2"/>
      <c r="V292" s="2"/>
      <c r="W292" s="2"/>
      <c r="X292" s="2"/>
    </row>
    <row r="293" ht="15.75" customHeight="1">
      <c r="R293" s="2"/>
      <c r="S293" s="2"/>
      <c r="T293" s="2"/>
      <c r="U293" s="2"/>
      <c r="V293" s="2"/>
      <c r="W293" s="2"/>
      <c r="X293" s="2"/>
    </row>
    <row r="294" ht="15.75" customHeight="1">
      <c r="R294" s="2"/>
      <c r="S294" s="2"/>
      <c r="T294" s="2"/>
      <c r="U294" s="2"/>
      <c r="V294" s="2"/>
      <c r="W294" s="2"/>
      <c r="X294" s="2"/>
    </row>
    <row r="295" ht="15.75" customHeight="1">
      <c r="R295" s="2"/>
      <c r="S295" s="2"/>
      <c r="T295" s="2"/>
      <c r="U295" s="2"/>
      <c r="V295" s="2"/>
      <c r="W295" s="2"/>
      <c r="X295" s="2"/>
    </row>
    <row r="296" ht="15.75" customHeight="1">
      <c r="R296" s="2"/>
      <c r="S296" s="2"/>
      <c r="T296" s="2"/>
      <c r="U296" s="2"/>
      <c r="V296" s="2"/>
      <c r="W296" s="2"/>
      <c r="X296" s="2"/>
    </row>
    <row r="297" ht="15.75" customHeight="1">
      <c r="R297" s="2"/>
      <c r="S297" s="2"/>
      <c r="T297" s="2"/>
      <c r="U297" s="2"/>
      <c r="V297" s="2"/>
      <c r="W297" s="2"/>
      <c r="X297" s="2"/>
    </row>
    <row r="298" ht="15.75" customHeight="1">
      <c r="R298" s="2"/>
      <c r="S298" s="2"/>
      <c r="T298" s="2"/>
      <c r="U298" s="2"/>
      <c r="V298" s="2"/>
      <c r="W298" s="2"/>
      <c r="X298" s="2"/>
    </row>
    <row r="299" ht="15.75" customHeight="1">
      <c r="R299" s="2"/>
      <c r="S299" s="2"/>
      <c r="T299" s="2"/>
      <c r="U299" s="2"/>
      <c r="V299" s="2"/>
      <c r="W299" s="2"/>
      <c r="X299" s="2"/>
    </row>
    <row r="300" ht="15.75" customHeight="1">
      <c r="R300" s="2"/>
      <c r="S300" s="2"/>
      <c r="T300" s="2"/>
      <c r="U300" s="2"/>
      <c r="V300" s="2"/>
      <c r="W300" s="2"/>
      <c r="X300" s="2"/>
    </row>
    <row r="301" ht="15.75" customHeight="1">
      <c r="R301" s="2"/>
      <c r="S301" s="2"/>
      <c r="T301" s="2"/>
      <c r="U301" s="2"/>
      <c r="V301" s="2"/>
      <c r="W301" s="2"/>
      <c r="X301" s="2"/>
    </row>
    <row r="302" ht="15.75" customHeight="1">
      <c r="R302" s="2"/>
      <c r="S302" s="2"/>
      <c r="T302" s="2"/>
      <c r="U302" s="2"/>
      <c r="V302" s="2"/>
      <c r="W302" s="2"/>
      <c r="X302" s="2"/>
    </row>
    <row r="303" ht="15.75" customHeight="1">
      <c r="R303" s="2"/>
      <c r="S303" s="2"/>
      <c r="T303" s="2"/>
      <c r="U303" s="2"/>
      <c r="V303" s="2"/>
      <c r="W303" s="2"/>
      <c r="X303" s="2"/>
    </row>
    <row r="304" ht="15.75" customHeight="1">
      <c r="R304" s="2"/>
      <c r="S304" s="2"/>
      <c r="T304" s="2"/>
      <c r="U304" s="2"/>
      <c r="V304" s="2"/>
      <c r="W304" s="2"/>
      <c r="X304" s="2"/>
    </row>
    <row r="305" ht="15.75" customHeight="1">
      <c r="R305" s="2"/>
      <c r="S305" s="2"/>
      <c r="T305" s="2"/>
      <c r="U305" s="2"/>
      <c r="V305" s="2"/>
      <c r="W305" s="2"/>
      <c r="X305" s="2"/>
    </row>
    <row r="306" ht="15.75" customHeight="1">
      <c r="R306" s="2"/>
      <c r="S306" s="2"/>
      <c r="T306" s="2"/>
      <c r="U306" s="2"/>
      <c r="V306" s="2"/>
      <c r="W306" s="2"/>
      <c r="X306" s="2"/>
    </row>
    <row r="307" ht="15.75" customHeight="1">
      <c r="R307" s="2"/>
      <c r="S307" s="2"/>
      <c r="T307" s="2"/>
      <c r="U307" s="2"/>
      <c r="V307" s="2"/>
      <c r="W307" s="2"/>
      <c r="X307" s="2"/>
    </row>
    <row r="308" ht="15.75" customHeight="1">
      <c r="R308" s="2"/>
      <c r="S308" s="2"/>
      <c r="T308" s="2"/>
      <c r="U308" s="2"/>
      <c r="V308" s="2"/>
      <c r="W308" s="2"/>
      <c r="X308" s="2"/>
    </row>
    <row r="309" ht="15.75" customHeight="1">
      <c r="R309" s="2"/>
      <c r="S309" s="2"/>
      <c r="T309" s="2"/>
      <c r="U309" s="2"/>
      <c r="V309" s="2"/>
      <c r="W309" s="2"/>
      <c r="X309" s="2"/>
    </row>
    <row r="310" ht="15.75" customHeight="1">
      <c r="R310" s="2"/>
      <c r="S310" s="2"/>
      <c r="T310" s="2"/>
      <c r="U310" s="2"/>
      <c r="V310" s="2"/>
      <c r="W310" s="2"/>
      <c r="X310" s="2"/>
    </row>
    <row r="311" ht="15.75" customHeight="1">
      <c r="R311" s="2"/>
      <c r="S311" s="2"/>
      <c r="T311" s="2"/>
      <c r="U311" s="2"/>
      <c r="V311" s="2"/>
      <c r="W311" s="2"/>
      <c r="X311" s="2"/>
    </row>
    <row r="312" ht="15.75" customHeight="1">
      <c r="R312" s="2"/>
      <c r="S312" s="2"/>
      <c r="T312" s="2"/>
      <c r="U312" s="2"/>
      <c r="V312" s="2"/>
      <c r="W312" s="2"/>
      <c r="X312" s="2"/>
    </row>
    <row r="313" ht="15.75" customHeight="1">
      <c r="R313" s="2"/>
      <c r="S313" s="2"/>
      <c r="T313" s="2"/>
      <c r="U313" s="2"/>
      <c r="V313" s="2"/>
      <c r="W313" s="2"/>
      <c r="X313" s="2"/>
    </row>
    <row r="314" ht="15.75" customHeight="1">
      <c r="R314" s="2"/>
      <c r="S314" s="2"/>
      <c r="T314" s="2"/>
      <c r="U314" s="2"/>
      <c r="V314" s="2"/>
      <c r="W314" s="2"/>
      <c r="X314" s="2"/>
    </row>
    <row r="315" ht="15.75" customHeight="1">
      <c r="R315" s="2"/>
      <c r="S315" s="2"/>
      <c r="T315" s="2"/>
      <c r="U315" s="2"/>
      <c r="V315" s="2"/>
      <c r="W315" s="2"/>
      <c r="X315" s="2"/>
    </row>
    <row r="316" ht="15.75" customHeight="1">
      <c r="R316" s="2"/>
      <c r="S316" s="2"/>
      <c r="T316" s="2"/>
      <c r="U316" s="2"/>
      <c r="V316" s="2"/>
      <c r="W316" s="2"/>
      <c r="X316" s="2"/>
    </row>
    <row r="317" ht="15.75" customHeight="1">
      <c r="R317" s="2"/>
      <c r="S317" s="2"/>
      <c r="T317" s="2"/>
      <c r="U317" s="2"/>
      <c r="V317" s="2"/>
      <c r="W317" s="2"/>
      <c r="X317" s="2"/>
    </row>
    <row r="318" ht="15.75" customHeight="1">
      <c r="R318" s="2"/>
      <c r="S318" s="2"/>
      <c r="T318" s="2"/>
      <c r="U318" s="2"/>
      <c r="V318" s="2"/>
      <c r="W318" s="2"/>
      <c r="X318" s="2"/>
    </row>
    <row r="319" ht="15.75" customHeight="1">
      <c r="R319" s="2"/>
      <c r="S319" s="2"/>
      <c r="T319" s="2"/>
      <c r="U319" s="2"/>
      <c r="V319" s="2"/>
      <c r="W319" s="2"/>
      <c r="X319" s="2"/>
    </row>
    <row r="320" ht="15.75" customHeight="1">
      <c r="R320" s="2"/>
      <c r="S320" s="2"/>
      <c r="T320" s="2"/>
      <c r="U320" s="2"/>
      <c r="V320" s="2"/>
      <c r="W320" s="2"/>
      <c r="X320" s="2"/>
    </row>
    <row r="321" ht="15.75" customHeight="1">
      <c r="R321" s="2"/>
      <c r="S321" s="2"/>
      <c r="T321" s="2"/>
      <c r="U321" s="2"/>
      <c r="V321" s="2"/>
      <c r="W321" s="2"/>
      <c r="X321" s="2"/>
    </row>
    <row r="322" ht="15.75" customHeight="1">
      <c r="R322" s="2"/>
      <c r="S322" s="2"/>
      <c r="T322" s="2"/>
      <c r="U322" s="2"/>
      <c r="V322" s="2"/>
      <c r="W322" s="2"/>
      <c r="X322" s="2"/>
    </row>
    <row r="323" ht="15.75" customHeight="1">
      <c r="R323" s="2"/>
      <c r="S323" s="2"/>
      <c r="T323" s="2"/>
      <c r="U323" s="2"/>
      <c r="V323" s="2"/>
      <c r="W323" s="2"/>
      <c r="X323" s="2"/>
    </row>
    <row r="324" ht="15.75" customHeight="1">
      <c r="R324" s="2"/>
      <c r="S324" s="2"/>
      <c r="T324" s="2"/>
      <c r="U324" s="2"/>
      <c r="V324" s="2"/>
      <c r="W324" s="2"/>
      <c r="X324" s="2"/>
    </row>
    <row r="325" ht="15.75" customHeight="1">
      <c r="R325" s="2"/>
      <c r="S325" s="2"/>
      <c r="T325" s="2"/>
      <c r="U325" s="2"/>
      <c r="V325" s="2"/>
      <c r="W325" s="2"/>
      <c r="X325" s="2"/>
    </row>
    <row r="326" ht="15.75" customHeight="1">
      <c r="R326" s="2"/>
      <c r="S326" s="2"/>
      <c r="T326" s="2"/>
      <c r="U326" s="2"/>
      <c r="V326" s="2"/>
      <c r="W326" s="2"/>
      <c r="X326" s="2"/>
    </row>
    <row r="327" ht="15.75" customHeight="1">
      <c r="R327" s="2"/>
      <c r="S327" s="2"/>
      <c r="T327" s="2"/>
      <c r="U327" s="2"/>
      <c r="V327" s="2"/>
      <c r="W327" s="2"/>
      <c r="X327" s="2"/>
    </row>
    <row r="328" ht="15.75" customHeight="1">
      <c r="R328" s="2"/>
      <c r="S328" s="2"/>
      <c r="T328" s="2"/>
      <c r="U328" s="2"/>
      <c r="V328" s="2"/>
      <c r="W328" s="2"/>
      <c r="X328" s="2"/>
    </row>
    <row r="329" ht="15.75" customHeight="1">
      <c r="R329" s="2"/>
      <c r="S329" s="2"/>
      <c r="T329" s="2"/>
      <c r="U329" s="2"/>
      <c r="V329" s="2"/>
      <c r="W329" s="2"/>
      <c r="X329" s="2"/>
    </row>
    <row r="330" ht="15.75" customHeight="1">
      <c r="R330" s="2"/>
      <c r="S330" s="2"/>
      <c r="T330" s="2"/>
      <c r="U330" s="2"/>
      <c r="V330" s="2"/>
      <c r="W330" s="2"/>
      <c r="X330" s="2"/>
    </row>
    <row r="331" ht="15.75" customHeight="1">
      <c r="R331" s="2"/>
      <c r="S331" s="2"/>
      <c r="T331" s="2"/>
      <c r="U331" s="2"/>
      <c r="V331" s="2"/>
      <c r="W331" s="2"/>
      <c r="X331" s="2"/>
    </row>
    <row r="332" ht="15.75" customHeight="1">
      <c r="R332" s="2"/>
      <c r="S332" s="2"/>
      <c r="T332" s="2"/>
      <c r="U332" s="2"/>
      <c r="V332" s="2"/>
      <c r="W332" s="2"/>
      <c r="X332" s="2"/>
    </row>
    <row r="333" ht="15.75" customHeight="1">
      <c r="R333" s="2"/>
      <c r="S333" s="2"/>
      <c r="T333" s="2"/>
      <c r="U333" s="2"/>
      <c r="V333" s="2"/>
      <c r="W333" s="2"/>
      <c r="X333" s="2"/>
    </row>
    <row r="334" ht="15.75" customHeight="1">
      <c r="R334" s="2"/>
      <c r="S334" s="2"/>
      <c r="T334" s="2"/>
      <c r="U334" s="2"/>
      <c r="V334" s="2"/>
      <c r="W334" s="2"/>
      <c r="X334" s="2"/>
    </row>
    <row r="335" ht="15.75" customHeight="1">
      <c r="R335" s="2"/>
      <c r="S335" s="2"/>
      <c r="T335" s="2"/>
      <c r="U335" s="2"/>
      <c r="V335" s="2"/>
      <c r="W335" s="2"/>
      <c r="X335" s="2"/>
    </row>
    <row r="336" ht="15.75" customHeight="1">
      <c r="R336" s="2"/>
      <c r="S336" s="2"/>
      <c r="T336" s="2"/>
      <c r="U336" s="2"/>
      <c r="V336" s="2"/>
      <c r="W336" s="2"/>
      <c r="X336" s="2"/>
    </row>
    <row r="337" ht="15.75" customHeight="1">
      <c r="R337" s="2"/>
      <c r="S337" s="2"/>
      <c r="T337" s="2"/>
      <c r="U337" s="2"/>
      <c r="V337" s="2"/>
      <c r="W337" s="2"/>
      <c r="X337" s="2"/>
    </row>
    <row r="338" ht="15.75" customHeight="1">
      <c r="R338" s="2"/>
      <c r="S338" s="2"/>
      <c r="T338" s="2"/>
      <c r="U338" s="2"/>
      <c r="V338" s="2"/>
      <c r="W338" s="2"/>
      <c r="X338" s="2"/>
    </row>
    <row r="339" ht="15.75" customHeight="1">
      <c r="R339" s="2"/>
      <c r="S339" s="2"/>
      <c r="T339" s="2"/>
      <c r="U339" s="2"/>
      <c r="V339" s="2"/>
      <c r="W339" s="2"/>
      <c r="X339" s="2"/>
    </row>
    <row r="340" ht="15.75" customHeight="1">
      <c r="R340" s="2"/>
      <c r="S340" s="2"/>
      <c r="T340" s="2"/>
      <c r="U340" s="2"/>
      <c r="V340" s="2"/>
      <c r="W340" s="2"/>
      <c r="X340" s="2"/>
    </row>
    <row r="341" ht="15.75" customHeight="1">
      <c r="R341" s="2"/>
      <c r="S341" s="2"/>
      <c r="T341" s="2"/>
      <c r="U341" s="2"/>
      <c r="V341" s="2"/>
      <c r="W341" s="2"/>
      <c r="X341" s="2"/>
    </row>
    <row r="342" ht="15.75" customHeight="1">
      <c r="R342" s="2"/>
      <c r="S342" s="2"/>
      <c r="T342" s="2"/>
      <c r="U342" s="2"/>
      <c r="V342" s="2"/>
      <c r="W342" s="2"/>
      <c r="X342" s="2"/>
    </row>
    <row r="343" ht="15.75" customHeight="1">
      <c r="R343" s="2"/>
      <c r="S343" s="2"/>
      <c r="T343" s="2"/>
      <c r="U343" s="2"/>
      <c r="V343" s="2"/>
      <c r="W343" s="2"/>
      <c r="X343" s="2"/>
    </row>
    <row r="344" ht="15.75" customHeight="1">
      <c r="R344" s="2"/>
      <c r="S344" s="2"/>
      <c r="T344" s="2"/>
      <c r="U344" s="2"/>
      <c r="V344" s="2"/>
      <c r="W344" s="2"/>
      <c r="X344" s="2"/>
    </row>
    <row r="345" ht="15.75" customHeight="1">
      <c r="R345" s="2"/>
      <c r="S345" s="2"/>
      <c r="T345" s="2"/>
      <c r="U345" s="2"/>
      <c r="V345" s="2"/>
      <c r="W345" s="2"/>
      <c r="X345" s="2"/>
    </row>
    <row r="346" ht="15.75" customHeight="1">
      <c r="R346" s="2"/>
      <c r="S346" s="2"/>
      <c r="T346" s="2"/>
      <c r="U346" s="2"/>
      <c r="V346" s="2"/>
      <c r="W346" s="2"/>
      <c r="X346" s="2"/>
    </row>
    <row r="347" ht="15.75" customHeight="1">
      <c r="R347" s="2"/>
      <c r="S347" s="2"/>
      <c r="T347" s="2"/>
      <c r="U347" s="2"/>
      <c r="V347" s="2"/>
      <c r="W347" s="2"/>
      <c r="X347" s="2"/>
    </row>
    <row r="348" ht="15.75" customHeight="1">
      <c r="R348" s="2"/>
      <c r="S348" s="2"/>
      <c r="T348" s="2"/>
      <c r="U348" s="2"/>
      <c r="V348" s="2"/>
      <c r="W348" s="2"/>
      <c r="X348" s="2"/>
    </row>
    <row r="349" ht="15.75" customHeight="1">
      <c r="R349" s="2"/>
      <c r="S349" s="2"/>
      <c r="T349" s="2"/>
      <c r="U349" s="2"/>
      <c r="V349" s="2"/>
      <c r="W349" s="2"/>
      <c r="X349" s="2"/>
    </row>
    <row r="350" ht="15.75" customHeight="1">
      <c r="R350" s="2"/>
      <c r="S350" s="2"/>
      <c r="T350" s="2"/>
      <c r="U350" s="2"/>
      <c r="V350" s="2"/>
      <c r="W350" s="2"/>
      <c r="X350" s="2"/>
    </row>
    <row r="351" ht="15.75" customHeight="1">
      <c r="R351" s="2"/>
      <c r="S351" s="2"/>
      <c r="T351" s="2"/>
      <c r="U351" s="2"/>
      <c r="V351" s="2"/>
      <c r="W351" s="2"/>
      <c r="X351" s="2"/>
    </row>
    <row r="352" ht="15.75" customHeight="1">
      <c r="R352" s="2"/>
      <c r="S352" s="2"/>
      <c r="T352" s="2"/>
      <c r="U352" s="2"/>
      <c r="V352" s="2"/>
      <c r="W352" s="2"/>
      <c r="X352" s="2"/>
    </row>
    <row r="353" ht="15.75" customHeight="1">
      <c r="R353" s="2"/>
      <c r="S353" s="2"/>
      <c r="T353" s="2"/>
      <c r="U353" s="2"/>
      <c r="V353" s="2"/>
      <c r="W353" s="2"/>
      <c r="X353" s="2"/>
    </row>
    <row r="354" ht="15.75" customHeight="1">
      <c r="R354" s="2"/>
      <c r="S354" s="2"/>
      <c r="T354" s="2"/>
      <c r="U354" s="2"/>
      <c r="V354" s="2"/>
      <c r="W354" s="2"/>
      <c r="X354" s="2"/>
    </row>
    <row r="355" ht="15.75" customHeight="1">
      <c r="R355" s="2"/>
      <c r="S355" s="2"/>
      <c r="T355" s="2"/>
      <c r="U355" s="2"/>
      <c r="V355" s="2"/>
      <c r="W355" s="2"/>
      <c r="X355" s="2"/>
    </row>
    <row r="356" ht="15.75" customHeight="1">
      <c r="R356" s="2"/>
      <c r="S356" s="2"/>
      <c r="T356" s="2"/>
      <c r="U356" s="2"/>
      <c r="V356" s="2"/>
      <c r="W356" s="2"/>
      <c r="X356" s="2"/>
    </row>
    <row r="357" ht="15.75" customHeight="1">
      <c r="R357" s="2"/>
      <c r="S357" s="2"/>
      <c r="T357" s="2"/>
      <c r="U357" s="2"/>
      <c r="V357" s="2"/>
      <c r="W357" s="2"/>
      <c r="X357" s="2"/>
    </row>
    <row r="358" ht="15.75" customHeight="1">
      <c r="R358" s="2"/>
      <c r="S358" s="2"/>
      <c r="T358" s="2"/>
      <c r="U358" s="2"/>
      <c r="V358" s="2"/>
      <c r="W358" s="2"/>
      <c r="X358" s="2"/>
    </row>
    <row r="359" ht="15.75" customHeight="1">
      <c r="R359" s="2"/>
      <c r="S359" s="2"/>
      <c r="T359" s="2"/>
      <c r="U359" s="2"/>
      <c r="V359" s="2"/>
      <c r="W359" s="2"/>
      <c r="X359" s="2"/>
    </row>
    <row r="360" ht="15.75" customHeight="1">
      <c r="R360" s="2"/>
      <c r="S360" s="2"/>
      <c r="T360" s="2"/>
      <c r="U360" s="2"/>
      <c r="V360" s="2"/>
      <c r="W360" s="2"/>
      <c r="X360" s="2"/>
    </row>
    <row r="361" ht="15.75" customHeight="1">
      <c r="R361" s="2"/>
      <c r="S361" s="2"/>
      <c r="T361" s="2"/>
      <c r="U361" s="2"/>
      <c r="V361" s="2"/>
      <c r="W361" s="2"/>
      <c r="X361" s="2"/>
    </row>
    <row r="362" ht="15.75" customHeight="1">
      <c r="R362" s="2"/>
      <c r="S362" s="2"/>
      <c r="T362" s="2"/>
      <c r="U362" s="2"/>
      <c r="V362" s="2"/>
      <c r="W362" s="2"/>
      <c r="X362" s="2"/>
    </row>
    <row r="363" ht="15.75" customHeight="1">
      <c r="R363" s="2"/>
      <c r="S363" s="2"/>
      <c r="T363" s="2"/>
      <c r="U363" s="2"/>
      <c r="V363" s="2"/>
      <c r="W363" s="2"/>
      <c r="X363" s="2"/>
    </row>
    <row r="364" ht="15.75" customHeight="1">
      <c r="R364" s="2"/>
      <c r="S364" s="2"/>
      <c r="T364" s="2"/>
      <c r="U364" s="2"/>
      <c r="V364" s="2"/>
      <c r="W364" s="2"/>
      <c r="X364" s="2"/>
    </row>
    <row r="365" ht="15.75" customHeight="1">
      <c r="R365" s="2"/>
      <c r="S365" s="2"/>
      <c r="T365" s="2"/>
      <c r="U365" s="2"/>
      <c r="V365" s="2"/>
      <c r="W365" s="2"/>
      <c r="X365" s="2"/>
    </row>
    <row r="366" ht="15.75" customHeight="1">
      <c r="R366" s="2"/>
      <c r="S366" s="2"/>
      <c r="T366" s="2"/>
      <c r="U366" s="2"/>
      <c r="V366" s="2"/>
      <c r="W366" s="2"/>
      <c r="X366" s="2"/>
    </row>
    <row r="367" ht="15.75" customHeight="1">
      <c r="R367" s="2"/>
      <c r="S367" s="2"/>
      <c r="T367" s="2"/>
      <c r="U367" s="2"/>
      <c r="V367" s="2"/>
      <c r="W367" s="2"/>
      <c r="X367" s="2"/>
    </row>
    <row r="368" ht="15.75" customHeight="1">
      <c r="R368" s="2"/>
      <c r="S368" s="2"/>
      <c r="T368" s="2"/>
      <c r="U368" s="2"/>
      <c r="V368" s="2"/>
      <c r="W368" s="2"/>
      <c r="X368" s="2"/>
    </row>
    <row r="369" ht="15.75" customHeight="1">
      <c r="R369" s="2"/>
      <c r="S369" s="2"/>
      <c r="T369" s="2"/>
      <c r="U369" s="2"/>
      <c r="V369" s="2"/>
      <c r="W369" s="2"/>
      <c r="X369" s="2"/>
    </row>
    <row r="370" ht="15.75" customHeight="1">
      <c r="R370" s="2"/>
      <c r="S370" s="2"/>
      <c r="T370" s="2"/>
      <c r="U370" s="2"/>
      <c r="V370" s="2"/>
      <c r="W370" s="2"/>
      <c r="X370" s="2"/>
    </row>
    <row r="371" ht="15.75" customHeight="1">
      <c r="R371" s="2"/>
      <c r="S371" s="2"/>
      <c r="T371" s="2"/>
      <c r="U371" s="2"/>
      <c r="V371" s="2"/>
      <c r="W371" s="2"/>
      <c r="X371" s="2"/>
    </row>
    <row r="372" ht="15.75" customHeight="1">
      <c r="R372" s="2"/>
      <c r="S372" s="2"/>
      <c r="T372" s="2"/>
      <c r="U372" s="2"/>
      <c r="V372" s="2"/>
      <c r="W372" s="2"/>
      <c r="X372" s="2"/>
    </row>
    <row r="373" ht="15.75" customHeight="1">
      <c r="R373" s="2"/>
      <c r="S373" s="2"/>
      <c r="T373" s="2"/>
      <c r="U373" s="2"/>
      <c r="V373" s="2"/>
      <c r="W373" s="2"/>
      <c r="X373" s="2"/>
    </row>
    <row r="374" ht="15.75" customHeight="1">
      <c r="R374" s="2"/>
      <c r="S374" s="2"/>
      <c r="T374" s="2"/>
      <c r="U374" s="2"/>
      <c r="V374" s="2"/>
      <c r="W374" s="2"/>
      <c r="X374" s="2"/>
    </row>
    <row r="375" ht="15.75" customHeight="1">
      <c r="R375" s="2"/>
      <c r="S375" s="2"/>
      <c r="T375" s="2"/>
      <c r="U375" s="2"/>
      <c r="V375" s="2"/>
      <c r="W375" s="2"/>
      <c r="X375" s="2"/>
    </row>
    <row r="376" ht="15.75" customHeight="1">
      <c r="R376" s="2"/>
      <c r="S376" s="2"/>
      <c r="T376" s="2"/>
      <c r="U376" s="2"/>
      <c r="V376" s="2"/>
      <c r="W376" s="2"/>
      <c r="X376" s="2"/>
    </row>
    <row r="377" ht="15.75" customHeight="1">
      <c r="R377" s="2"/>
      <c r="S377" s="2"/>
      <c r="T377" s="2"/>
      <c r="U377" s="2"/>
      <c r="V377" s="2"/>
      <c r="W377" s="2"/>
      <c r="X377" s="2"/>
    </row>
    <row r="378" ht="15.75" customHeight="1">
      <c r="R378" s="2"/>
      <c r="S378" s="2"/>
      <c r="T378" s="2"/>
      <c r="U378" s="2"/>
      <c r="V378" s="2"/>
      <c r="W378" s="2"/>
      <c r="X378" s="2"/>
    </row>
    <row r="379" ht="15.75" customHeight="1">
      <c r="R379" s="2"/>
      <c r="S379" s="2"/>
      <c r="T379" s="2"/>
      <c r="U379" s="2"/>
      <c r="V379" s="2"/>
      <c r="W379" s="2"/>
      <c r="X379" s="2"/>
    </row>
    <row r="380" ht="15.75" customHeight="1">
      <c r="R380" s="2"/>
      <c r="S380" s="2"/>
      <c r="T380" s="2"/>
      <c r="U380" s="2"/>
      <c r="V380" s="2"/>
      <c r="W380" s="2"/>
      <c r="X380" s="2"/>
    </row>
    <row r="381" ht="15.75" customHeight="1">
      <c r="R381" s="2"/>
      <c r="S381" s="2"/>
      <c r="T381" s="2"/>
      <c r="U381" s="2"/>
      <c r="V381" s="2"/>
      <c r="W381" s="2"/>
      <c r="X381" s="2"/>
    </row>
    <row r="382" ht="15.75" customHeight="1">
      <c r="R382" s="2"/>
      <c r="S382" s="2"/>
      <c r="T382" s="2"/>
      <c r="U382" s="2"/>
      <c r="V382" s="2"/>
      <c r="W382" s="2"/>
      <c r="X382" s="2"/>
    </row>
    <row r="383" ht="15.75" customHeight="1">
      <c r="R383" s="2"/>
      <c r="S383" s="2"/>
      <c r="T383" s="2"/>
      <c r="U383" s="2"/>
      <c r="V383" s="2"/>
      <c r="W383" s="2"/>
      <c r="X383" s="2"/>
    </row>
    <row r="384" ht="15.75" customHeight="1">
      <c r="R384" s="2"/>
      <c r="S384" s="2"/>
      <c r="T384" s="2"/>
      <c r="U384" s="2"/>
      <c r="V384" s="2"/>
      <c r="W384" s="2"/>
      <c r="X384" s="2"/>
    </row>
    <row r="385" ht="15.75" customHeight="1">
      <c r="R385" s="2"/>
      <c r="S385" s="2"/>
      <c r="T385" s="2"/>
      <c r="U385" s="2"/>
      <c r="V385" s="2"/>
      <c r="W385" s="2"/>
      <c r="X385" s="2"/>
    </row>
    <row r="386" ht="15.75" customHeight="1">
      <c r="R386" s="2"/>
      <c r="S386" s="2"/>
      <c r="T386" s="2"/>
      <c r="U386" s="2"/>
      <c r="V386" s="2"/>
      <c r="W386" s="2"/>
      <c r="X386" s="2"/>
    </row>
    <row r="387" ht="15.75" customHeight="1">
      <c r="R387" s="2"/>
      <c r="S387" s="2"/>
      <c r="T387" s="2"/>
      <c r="U387" s="2"/>
      <c r="V387" s="2"/>
      <c r="W387" s="2"/>
      <c r="X387" s="2"/>
    </row>
    <row r="388" ht="15.75" customHeight="1">
      <c r="R388" s="2"/>
      <c r="S388" s="2"/>
      <c r="T388" s="2"/>
      <c r="U388" s="2"/>
      <c r="V388" s="2"/>
      <c r="W388" s="2"/>
      <c r="X388" s="2"/>
    </row>
    <row r="389" ht="15.75" customHeight="1">
      <c r="R389" s="2"/>
      <c r="S389" s="2"/>
      <c r="T389" s="2"/>
      <c r="U389" s="2"/>
      <c r="V389" s="2"/>
      <c r="W389" s="2"/>
      <c r="X389" s="2"/>
    </row>
    <row r="390" ht="15.75" customHeight="1">
      <c r="R390" s="2"/>
      <c r="S390" s="2"/>
      <c r="T390" s="2"/>
      <c r="U390" s="2"/>
      <c r="V390" s="2"/>
      <c r="W390" s="2"/>
      <c r="X390" s="2"/>
    </row>
    <row r="391" ht="15.75" customHeight="1">
      <c r="R391" s="2"/>
      <c r="S391" s="2"/>
      <c r="T391" s="2"/>
      <c r="U391" s="2"/>
      <c r="V391" s="2"/>
      <c r="W391" s="2"/>
      <c r="X391" s="2"/>
    </row>
    <row r="392" ht="15.75" customHeight="1">
      <c r="R392" s="2"/>
      <c r="S392" s="2"/>
      <c r="T392" s="2"/>
      <c r="U392" s="2"/>
      <c r="V392" s="2"/>
      <c r="W392" s="2"/>
      <c r="X392" s="2"/>
    </row>
    <row r="393" ht="15.75" customHeight="1">
      <c r="R393" s="2"/>
      <c r="S393" s="2"/>
      <c r="T393" s="2"/>
      <c r="U393" s="2"/>
      <c r="V393" s="2"/>
      <c r="W393" s="2"/>
      <c r="X393" s="2"/>
    </row>
    <row r="394" ht="15.75" customHeight="1">
      <c r="R394" s="2"/>
      <c r="S394" s="2"/>
      <c r="T394" s="2"/>
      <c r="U394" s="2"/>
      <c r="V394" s="2"/>
      <c r="W394" s="2"/>
      <c r="X394" s="2"/>
    </row>
    <row r="395" ht="15.75" customHeight="1">
      <c r="R395" s="2"/>
      <c r="S395" s="2"/>
      <c r="T395" s="2"/>
      <c r="U395" s="2"/>
      <c r="V395" s="2"/>
      <c r="W395" s="2"/>
      <c r="X395" s="2"/>
    </row>
    <row r="396" ht="15.75" customHeight="1">
      <c r="R396" s="2"/>
      <c r="S396" s="2"/>
      <c r="T396" s="2"/>
      <c r="U396" s="2"/>
      <c r="V396" s="2"/>
      <c r="W396" s="2"/>
      <c r="X396" s="2"/>
    </row>
    <row r="397" ht="15.75" customHeight="1">
      <c r="R397" s="2"/>
      <c r="S397" s="2"/>
      <c r="T397" s="2"/>
      <c r="U397" s="2"/>
      <c r="V397" s="2"/>
      <c r="W397" s="2"/>
      <c r="X397" s="2"/>
    </row>
    <row r="398" ht="15.75" customHeight="1">
      <c r="R398" s="2"/>
      <c r="S398" s="2"/>
      <c r="T398" s="2"/>
      <c r="U398" s="2"/>
      <c r="V398" s="2"/>
      <c r="W398" s="2"/>
      <c r="X398" s="2"/>
    </row>
    <row r="399" ht="15.75" customHeight="1">
      <c r="R399" s="2"/>
      <c r="S399" s="2"/>
      <c r="T399" s="2"/>
      <c r="U399" s="2"/>
      <c r="V399" s="2"/>
      <c r="W399" s="2"/>
      <c r="X399" s="2"/>
    </row>
    <row r="400" ht="15.75" customHeight="1">
      <c r="R400" s="2"/>
      <c r="S400" s="2"/>
      <c r="T400" s="2"/>
      <c r="U400" s="2"/>
      <c r="V400" s="2"/>
      <c r="W400" s="2"/>
      <c r="X400" s="2"/>
    </row>
    <row r="401" ht="15.75" customHeight="1">
      <c r="R401" s="2"/>
      <c r="S401" s="2"/>
      <c r="T401" s="2"/>
      <c r="U401" s="2"/>
      <c r="V401" s="2"/>
      <c r="W401" s="2"/>
      <c r="X401" s="2"/>
    </row>
    <row r="402" ht="15.75" customHeight="1">
      <c r="R402" s="2"/>
      <c r="S402" s="2"/>
      <c r="T402" s="2"/>
      <c r="U402" s="2"/>
      <c r="V402" s="2"/>
      <c r="W402" s="2"/>
      <c r="X402" s="2"/>
    </row>
    <row r="403" ht="15.75" customHeight="1">
      <c r="R403" s="2"/>
      <c r="S403" s="2"/>
      <c r="T403" s="2"/>
      <c r="U403" s="2"/>
      <c r="V403" s="2"/>
      <c r="W403" s="2"/>
      <c r="X403" s="2"/>
    </row>
    <row r="404" ht="15.75" customHeight="1">
      <c r="R404" s="2"/>
      <c r="S404" s="2"/>
      <c r="T404" s="2"/>
      <c r="U404" s="2"/>
      <c r="V404" s="2"/>
      <c r="W404" s="2"/>
      <c r="X404" s="2"/>
    </row>
    <row r="405" ht="15.75" customHeight="1">
      <c r="R405" s="2"/>
      <c r="S405" s="2"/>
      <c r="T405" s="2"/>
      <c r="U405" s="2"/>
      <c r="V405" s="2"/>
      <c r="W405" s="2"/>
      <c r="X405" s="2"/>
    </row>
    <row r="406" ht="15.75" customHeight="1">
      <c r="R406" s="2"/>
      <c r="S406" s="2"/>
      <c r="T406" s="2"/>
      <c r="U406" s="2"/>
      <c r="V406" s="2"/>
      <c r="W406" s="2"/>
      <c r="X406" s="2"/>
    </row>
    <row r="407" ht="15.75" customHeight="1">
      <c r="R407" s="2"/>
      <c r="S407" s="2"/>
      <c r="T407" s="2"/>
      <c r="U407" s="2"/>
      <c r="V407" s="2"/>
      <c r="W407" s="2"/>
      <c r="X407" s="2"/>
    </row>
    <row r="408" ht="15.75" customHeight="1">
      <c r="R408" s="2"/>
      <c r="S408" s="2"/>
      <c r="T408" s="2"/>
      <c r="U408" s="2"/>
      <c r="V408" s="2"/>
      <c r="W408" s="2"/>
      <c r="X408" s="2"/>
    </row>
    <row r="409" ht="15.75" customHeight="1">
      <c r="R409" s="2"/>
      <c r="S409" s="2"/>
      <c r="T409" s="2"/>
      <c r="U409" s="2"/>
      <c r="V409" s="2"/>
      <c r="W409" s="2"/>
      <c r="X409" s="2"/>
    </row>
    <row r="410" ht="15.75" customHeight="1">
      <c r="R410" s="2"/>
      <c r="S410" s="2"/>
      <c r="T410" s="2"/>
      <c r="U410" s="2"/>
      <c r="V410" s="2"/>
      <c r="W410" s="2"/>
      <c r="X410" s="2"/>
    </row>
    <row r="411" ht="15.75" customHeight="1">
      <c r="R411" s="2"/>
      <c r="S411" s="2"/>
      <c r="T411" s="2"/>
      <c r="U411" s="2"/>
      <c r="V411" s="2"/>
      <c r="W411" s="2"/>
      <c r="X411" s="2"/>
    </row>
    <row r="412" ht="15.75" customHeight="1">
      <c r="R412" s="2"/>
      <c r="S412" s="2"/>
      <c r="T412" s="2"/>
      <c r="U412" s="2"/>
      <c r="V412" s="2"/>
      <c r="W412" s="2"/>
      <c r="X412" s="2"/>
    </row>
    <row r="413" ht="15.75" customHeight="1">
      <c r="R413" s="2"/>
      <c r="S413" s="2"/>
      <c r="T413" s="2"/>
      <c r="U413" s="2"/>
      <c r="V413" s="2"/>
      <c r="W413" s="2"/>
      <c r="X413" s="2"/>
    </row>
    <row r="414" ht="15.75" customHeight="1">
      <c r="R414" s="2"/>
      <c r="S414" s="2"/>
      <c r="T414" s="2"/>
      <c r="U414" s="2"/>
      <c r="V414" s="2"/>
      <c r="W414" s="2"/>
      <c r="X414" s="2"/>
    </row>
    <row r="415" ht="15.75" customHeight="1">
      <c r="R415" s="2"/>
      <c r="S415" s="2"/>
      <c r="T415" s="2"/>
      <c r="U415" s="2"/>
      <c r="V415" s="2"/>
      <c r="W415" s="2"/>
      <c r="X415" s="2"/>
    </row>
    <row r="416" ht="15.75" customHeight="1">
      <c r="R416" s="2"/>
      <c r="S416" s="2"/>
      <c r="T416" s="2"/>
      <c r="U416" s="2"/>
      <c r="V416" s="2"/>
      <c r="W416" s="2"/>
      <c r="X416" s="2"/>
    </row>
    <row r="417" ht="15.75" customHeight="1">
      <c r="R417" s="2"/>
      <c r="S417" s="2"/>
      <c r="T417" s="2"/>
      <c r="U417" s="2"/>
      <c r="V417" s="2"/>
      <c r="W417" s="2"/>
      <c r="X417" s="2"/>
    </row>
    <row r="418" ht="15.75" customHeight="1">
      <c r="R418" s="2"/>
      <c r="S418" s="2"/>
      <c r="T418" s="2"/>
      <c r="U418" s="2"/>
      <c r="V418" s="2"/>
      <c r="W418" s="2"/>
      <c r="X418" s="2"/>
    </row>
    <row r="419" ht="15.75" customHeight="1">
      <c r="R419" s="2"/>
      <c r="S419" s="2"/>
      <c r="T419" s="2"/>
      <c r="U419" s="2"/>
      <c r="V419" s="2"/>
      <c r="W419" s="2"/>
      <c r="X419" s="2"/>
    </row>
    <row r="420" ht="15.75" customHeight="1">
      <c r="R420" s="2"/>
      <c r="S420" s="2"/>
      <c r="T420" s="2"/>
      <c r="U420" s="2"/>
      <c r="V420" s="2"/>
      <c r="W420" s="2"/>
      <c r="X420" s="2"/>
    </row>
    <row r="421" ht="15.75" customHeight="1">
      <c r="R421" s="2"/>
      <c r="S421" s="2"/>
      <c r="T421" s="2"/>
      <c r="U421" s="2"/>
      <c r="V421" s="2"/>
      <c r="W421" s="2"/>
      <c r="X421" s="2"/>
    </row>
    <row r="422" ht="15.75" customHeight="1">
      <c r="R422" s="2"/>
      <c r="S422" s="2"/>
      <c r="T422" s="2"/>
      <c r="U422" s="2"/>
      <c r="V422" s="2"/>
      <c r="W422" s="2"/>
      <c r="X422" s="2"/>
    </row>
    <row r="423" ht="15.75" customHeight="1">
      <c r="R423" s="2"/>
      <c r="S423" s="2"/>
      <c r="T423" s="2"/>
      <c r="U423" s="2"/>
      <c r="V423" s="2"/>
      <c r="W423" s="2"/>
      <c r="X423" s="2"/>
    </row>
    <row r="424" ht="15.75" customHeight="1">
      <c r="R424" s="2"/>
      <c r="S424" s="2"/>
      <c r="T424" s="2"/>
      <c r="U424" s="2"/>
      <c r="V424" s="2"/>
      <c r="W424" s="2"/>
      <c r="X424" s="2"/>
    </row>
    <row r="425" ht="15.75" customHeight="1">
      <c r="R425" s="2"/>
      <c r="S425" s="2"/>
      <c r="T425" s="2"/>
      <c r="U425" s="2"/>
      <c r="V425" s="2"/>
      <c r="W425" s="2"/>
      <c r="X425" s="2"/>
    </row>
    <row r="426" ht="15.75" customHeight="1">
      <c r="R426" s="2"/>
      <c r="S426" s="2"/>
      <c r="T426" s="2"/>
      <c r="U426" s="2"/>
      <c r="V426" s="2"/>
      <c r="W426" s="2"/>
      <c r="X426" s="2"/>
    </row>
    <row r="427" ht="15.75" customHeight="1">
      <c r="R427" s="2"/>
      <c r="S427" s="2"/>
      <c r="T427" s="2"/>
      <c r="U427" s="2"/>
      <c r="V427" s="2"/>
      <c r="W427" s="2"/>
      <c r="X427" s="2"/>
    </row>
    <row r="428" ht="15.75" customHeight="1">
      <c r="R428" s="2"/>
      <c r="S428" s="2"/>
      <c r="T428" s="2"/>
      <c r="U428" s="2"/>
      <c r="V428" s="2"/>
      <c r="W428" s="2"/>
      <c r="X428" s="2"/>
    </row>
    <row r="429" ht="15.75" customHeight="1">
      <c r="R429" s="2"/>
      <c r="S429" s="2"/>
      <c r="T429" s="2"/>
      <c r="U429" s="2"/>
      <c r="V429" s="2"/>
      <c r="W429" s="2"/>
      <c r="X429" s="2"/>
    </row>
    <row r="430" ht="15.75" customHeight="1">
      <c r="R430" s="2"/>
      <c r="S430" s="2"/>
      <c r="T430" s="2"/>
      <c r="U430" s="2"/>
      <c r="V430" s="2"/>
      <c r="W430" s="2"/>
      <c r="X430" s="2"/>
    </row>
    <row r="431" ht="15.75" customHeight="1">
      <c r="R431" s="2"/>
      <c r="S431" s="2"/>
      <c r="T431" s="2"/>
      <c r="U431" s="2"/>
      <c r="V431" s="2"/>
      <c r="W431" s="2"/>
      <c r="X431" s="2"/>
    </row>
    <row r="432" ht="15.75" customHeight="1">
      <c r="R432" s="2"/>
      <c r="S432" s="2"/>
      <c r="T432" s="2"/>
      <c r="U432" s="2"/>
      <c r="V432" s="2"/>
      <c r="W432" s="2"/>
      <c r="X432" s="2"/>
    </row>
    <row r="433" ht="15.75" customHeight="1">
      <c r="R433" s="2"/>
      <c r="S433" s="2"/>
      <c r="T433" s="2"/>
      <c r="U433" s="2"/>
      <c r="V433" s="2"/>
      <c r="W433" s="2"/>
      <c r="X433" s="2"/>
    </row>
    <row r="434" ht="15.75" customHeight="1">
      <c r="R434" s="2"/>
      <c r="S434" s="2"/>
      <c r="T434" s="2"/>
      <c r="U434" s="2"/>
      <c r="V434" s="2"/>
      <c r="W434" s="2"/>
      <c r="X434" s="2"/>
    </row>
    <row r="435" ht="15.75" customHeight="1">
      <c r="R435" s="2"/>
      <c r="S435" s="2"/>
      <c r="T435" s="2"/>
      <c r="U435" s="2"/>
      <c r="V435" s="2"/>
      <c r="W435" s="2"/>
      <c r="X435" s="2"/>
    </row>
    <row r="436" ht="15.75" customHeight="1">
      <c r="R436" s="2"/>
      <c r="S436" s="2"/>
      <c r="T436" s="2"/>
      <c r="U436" s="2"/>
      <c r="V436" s="2"/>
      <c r="W436" s="2"/>
      <c r="X436" s="2"/>
    </row>
    <row r="437" ht="15.75" customHeight="1">
      <c r="R437" s="2"/>
      <c r="S437" s="2"/>
      <c r="T437" s="2"/>
      <c r="U437" s="2"/>
      <c r="V437" s="2"/>
      <c r="W437" s="2"/>
      <c r="X437" s="2"/>
    </row>
    <row r="438" ht="15.75" customHeight="1">
      <c r="R438" s="2"/>
      <c r="S438" s="2"/>
      <c r="T438" s="2"/>
      <c r="U438" s="2"/>
      <c r="V438" s="2"/>
      <c r="W438" s="2"/>
      <c r="X438" s="2"/>
    </row>
    <row r="439" ht="15.75" customHeight="1">
      <c r="R439" s="2"/>
      <c r="S439" s="2"/>
      <c r="T439" s="2"/>
      <c r="U439" s="2"/>
      <c r="V439" s="2"/>
      <c r="W439" s="2"/>
      <c r="X439" s="2"/>
    </row>
    <row r="440" ht="15.75" customHeight="1">
      <c r="R440" s="2"/>
      <c r="S440" s="2"/>
      <c r="T440" s="2"/>
      <c r="U440" s="2"/>
      <c r="V440" s="2"/>
      <c r="W440" s="2"/>
      <c r="X440" s="2"/>
    </row>
    <row r="441" ht="15.75" customHeight="1">
      <c r="R441" s="2"/>
      <c r="S441" s="2"/>
      <c r="T441" s="2"/>
      <c r="U441" s="2"/>
      <c r="V441" s="2"/>
      <c r="W441" s="2"/>
      <c r="X441" s="2"/>
    </row>
    <row r="442" ht="15.75" customHeight="1">
      <c r="R442" s="2"/>
      <c r="S442" s="2"/>
      <c r="T442" s="2"/>
      <c r="U442" s="2"/>
      <c r="V442" s="2"/>
      <c r="W442" s="2"/>
      <c r="X442" s="2"/>
    </row>
    <row r="443" ht="15.75" customHeight="1">
      <c r="R443" s="2"/>
      <c r="S443" s="2"/>
      <c r="T443" s="2"/>
      <c r="U443" s="2"/>
      <c r="V443" s="2"/>
      <c r="W443" s="2"/>
      <c r="X443" s="2"/>
    </row>
    <row r="444" ht="15.75" customHeight="1">
      <c r="R444" s="2"/>
      <c r="S444" s="2"/>
      <c r="T444" s="2"/>
      <c r="U444" s="2"/>
      <c r="V444" s="2"/>
      <c r="W444" s="2"/>
      <c r="X444" s="2"/>
    </row>
    <row r="445" ht="15.75" customHeight="1">
      <c r="R445" s="2"/>
      <c r="S445" s="2"/>
      <c r="T445" s="2"/>
      <c r="U445" s="2"/>
      <c r="V445" s="2"/>
      <c r="W445" s="2"/>
      <c r="X445" s="2"/>
    </row>
    <row r="446" ht="15.75" customHeight="1">
      <c r="R446" s="2"/>
      <c r="S446" s="2"/>
      <c r="T446" s="2"/>
      <c r="U446" s="2"/>
      <c r="V446" s="2"/>
      <c r="W446" s="2"/>
      <c r="X446" s="2"/>
    </row>
    <row r="447" ht="15.75" customHeight="1">
      <c r="R447" s="2"/>
      <c r="S447" s="2"/>
      <c r="T447" s="2"/>
      <c r="U447" s="2"/>
      <c r="V447" s="2"/>
      <c r="W447" s="2"/>
      <c r="X447" s="2"/>
    </row>
    <row r="448" ht="15.75" customHeight="1">
      <c r="R448" s="2"/>
      <c r="S448" s="2"/>
      <c r="T448" s="2"/>
      <c r="U448" s="2"/>
      <c r="V448" s="2"/>
      <c r="W448" s="2"/>
      <c r="X448" s="2"/>
    </row>
    <row r="449" ht="15.75" customHeight="1">
      <c r="R449" s="2"/>
      <c r="S449" s="2"/>
      <c r="T449" s="2"/>
      <c r="U449" s="2"/>
      <c r="V449" s="2"/>
      <c r="W449" s="2"/>
      <c r="X449" s="2"/>
    </row>
    <row r="450" ht="15.75" customHeight="1">
      <c r="R450" s="2"/>
      <c r="S450" s="2"/>
      <c r="T450" s="2"/>
      <c r="U450" s="2"/>
      <c r="V450" s="2"/>
      <c r="W450" s="2"/>
      <c r="X450" s="2"/>
    </row>
    <row r="451" ht="15.75" customHeight="1">
      <c r="R451" s="2"/>
      <c r="S451" s="2"/>
      <c r="T451" s="2"/>
      <c r="U451" s="2"/>
      <c r="V451" s="2"/>
      <c r="W451" s="2"/>
      <c r="X451" s="2"/>
    </row>
    <row r="452" ht="15.75" customHeight="1">
      <c r="R452" s="2"/>
      <c r="S452" s="2"/>
      <c r="T452" s="2"/>
      <c r="U452" s="2"/>
      <c r="V452" s="2"/>
      <c r="W452" s="2"/>
      <c r="X452" s="2"/>
    </row>
    <row r="453" ht="15.75" customHeight="1">
      <c r="R453" s="2"/>
      <c r="S453" s="2"/>
      <c r="T453" s="2"/>
      <c r="U453" s="2"/>
      <c r="V453" s="2"/>
      <c r="W453" s="2"/>
      <c r="X453" s="2"/>
    </row>
    <row r="454" ht="15.75" customHeight="1">
      <c r="R454" s="2"/>
      <c r="S454" s="2"/>
      <c r="T454" s="2"/>
      <c r="U454" s="2"/>
      <c r="V454" s="2"/>
      <c r="W454" s="2"/>
      <c r="X454" s="2"/>
    </row>
    <row r="455" ht="15.75" customHeight="1">
      <c r="R455" s="2"/>
      <c r="S455" s="2"/>
      <c r="T455" s="2"/>
      <c r="U455" s="2"/>
      <c r="V455" s="2"/>
      <c r="W455" s="2"/>
      <c r="X455" s="2"/>
    </row>
    <row r="456" ht="15.75" customHeight="1">
      <c r="R456" s="2"/>
      <c r="S456" s="2"/>
      <c r="T456" s="2"/>
      <c r="U456" s="2"/>
      <c r="V456" s="2"/>
      <c r="W456" s="2"/>
      <c r="X456" s="2"/>
    </row>
    <row r="457" ht="15.75" customHeight="1">
      <c r="R457" s="2"/>
      <c r="S457" s="2"/>
      <c r="T457" s="2"/>
      <c r="U457" s="2"/>
      <c r="V457" s="2"/>
      <c r="W457" s="2"/>
      <c r="X457" s="2"/>
    </row>
    <row r="458" ht="15.75" customHeight="1">
      <c r="R458" s="2"/>
      <c r="S458" s="2"/>
      <c r="T458" s="2"/>
      <c r="U458" s="2"/>
      <c r="V458" s="2"/>
      <c r="W458" s="2"/>
      <c r="X458" s="2"/>
    </row>
    <row r="459" ht="15.75" customHeight="1">
      <c r="R459" s="2"/>
      <c r="S459" s="2"/>
      <c r="T459" s="2"/>
      <c r="U459" s="2"/>
      <c r="V459" s="2"/>
      <c r="W459" s="2"/>
      <c r="X459" s="2"/>
    </row>
    <row r="460" ht="15.75" customHeight="1">
      <c r="R460" s="2"/>
      <c r="S460" s="2"/>
      <c r="T460" s="2"/>
      <c r="U460" s="2"/>
      <c r="V460" s="2"/>
      <c r="W460" s="2"/>
      <c r="X460" s="2"/>
    </row>
    <row r="461" ht="15.75" customHeight="1">
      <c r="R461" s="2"/>
      <c r="S461" s="2"/>
      <c r="T461" s="2"/>
      <c r="U461" s="2"/>
      <c r="V461" s="2"/>
      <c r="W461" s="2"/>
      <c r="X461" s="2"/>
    </row>
    <row r="462" ht="15.75" customHeight="1">
      <c r="R462" s="2"/>
      <c r="S462" s="2"/>
      <c r="T462" s="2"/>
      <c r="U462" s="2"/>
      <c r="V462" s="2"/>
      <c r="W462" s="2"/>
      <c r="X462" s="2"/>
    </row>
    <row r="463" ht="15.75" customHeight="1">
      <c r="R463" s="2"/>
      <c r="S463" s="2"/>
      <c r="T463" s="2"/>
      <c r="U463" s="2"/>
      <c r="V463" s="2"/>
      <c r="W463" s="2"/>
      <c r="X463" s="2"/>
    </row>
    <row r="464" ht="15.75" customHeight="1">
      <c r="R464" s="2"/>
      <c r="S464" s="2"/>
      <c r="T464" s="2"/>
      <c r="U464" s="2"/>
      <c r="V464" s="2"/>
      <c r="W464" s="2"/>
      <c r="X464" s="2"/>
    </row>
    <row r="465" ht="15.75" customHeight="1">
      <c r="R465" s="2"/>
      <c r="S465" s="2"/>
      <c r="T465" s="2"/>
      <c r="U465" s="2"/>
      <c r="V465" s="2"/>
      <c r="W465" s="2"/>
      <c r="X465" s="2"/>
    </row>
    <row r="466" ht="15.75" customHeight="1">
      <c r="R466" s="2"/>
      <c r="S466" s="2"/>
      <c r="T466" s="2"/>
      <c r="U466" s="2"/>
      <c r="V466" s="2"/>
      <c r="W466" s="2"/>
      <c r="X466" s="2"/>
    </row>
    <row r="467" ht="15.75" customHeight="1">
      <c r="R467" s="2"/>
      <c r="S467" s="2"/>
      <c r="T467" s="2"/>
      <c r="U467" s="2"/>
      <c r="V467" s="2"/>
      <c r="W467" s="2"/>
      <c r="X467" s="2"/>
    </row>
    <row r="468" ht="15.75" customHeight="1">
      <c r="R468" s="2"/>
      <c r="S468" s="2"/>
      <c r="T468" s="2"/>
      <c r="U468" s="2"/>
      <c r="V468" s="2"/>
      <c r="W468" s="2"/>
      <c r="X468" s="2"/>
    </row>
    <row r="469" ht="15.75" customHeight="1">
      <c r="R469" s="2"/>
      <c r="S469" s="2"/>
      <c r="T469" s="2"/>
      <c r="U469" s="2"/>
      <c r="V469" s="2"/>
      <c r="W469" s="2"/>
      <c r="X469" s="2"/>
    </row>
    <row r="470" ht="15.75" customHeight="1">
      <c r="R470" s="2"/>
      <c r="S470" s="2"/>
      <c r="T470" s="2"/>
      <c r="U470" s="2"/>
      <c r="V470" s="2"/>
      <c r="W470" s="2"/>
      <c r="X470" s="2"/>
    </row>
    <row r="471" ht="15.75" customHeight="1">
      <c r="R471" s="2"/>
      <c r="S471" s="2"/>
      <c r="T471" s="2"/>
      <c r="U471" s="2"/>
      <c r="V471" s="2"/>
      <c r="W471" s="2"/>
      <c r="X471" s="2"/>
    </row>
    <row r="472" ht="15.75" customHeight="1">
      <c r="R472" s="2"/>
      <c r="S472" s="2"/>
      <c r="T472" s="2"/>
      <c r="U472" s="2"/>
      <c r="V472" s="2"/>
      <c r="W472" s="2"/>
      <c r="X472" s="2"/>
    </row>
    <row r="473" ht="15.75" customHeight="1">
      <c r="R473" s="2"/>
      <c r="S473" s="2"/>
      <c r="T473" s="2"/>
      <c r="U473" s="2"/>
      <c r="V473" s="2"/>
      <c r="W473" s="2"/>
      <c r="X473" s="2"/>
    </row>
    <row r="474" ht="15.75" customHeight="1">
      <c r="R474" s="2"/>
      <c r="S474" s="2"/>
      <c r="T474" s="2"/>
      <c r="U474" s="2"/>
      <c r="V474" s="2"/>
      <c r="W474" s="2"/>
      <c r="X474" s="2"/>
    </row>
    <row r="475" ht="15.75" customHeight="1">
      <c r="R475" s="2"/>
      <c r="S475" s="2"/>
      <c r="T475" s="2"/>
      <c r="U475" s="2"/>
      <c r="V475" s="2"/>
      <c r="W475" s="2"/>
      <c r="X475" s="2"/>
    </row>
    <row r="476" ht="15.75" customHeight="1">
      <c r="R476" s="2"/>
      <c r="S476" s="2"/>
      <c r="T476" s="2"/>
      <c r="U476" s="2"/>
      <c r="V476" s="2"/>
      <c r="W476" s="2"/>
      <c r="X476" s="2"/>
    </row>
    <row r="477" ht="15.75" customHeight="1">
      <c r="R477" s="2"/>
      <c r="S477" s="2"/>
      <c r="T477" s="2"/>
      <c r="U477" s="2"/>
      <c r="V477" s="2"/>
      <c r="W477" s="2"/>
      <c r="X477" s="2"/>
    </row>
    <row r="478" ht="15.75" customHeight="1">
      <c r="R478" s="2"/>
      <c r="S478" s="2"/>
      <c r="T478" s="2"/>
      <c r="U478" s="2"/>
      <c r="V478" s="2"/>
      <c r="W478" s="2"/>
      <c r="X478" s="2"/>
    </row>
    <row r="479" ht="15.75" customHeight="1">
      <c r="R479" s="2"/>
      <c r="S479" s="2"/>
      <c r="T479" s="2"/>
      <c r="U479" s="2"/>
      <c r="V479" s="2"/>
      <c r="W479" s="2"/>
      <c r="X479" s="2"/>
    </row>
    <row r="480" ht="15.75" customHeight="1">
      <c r="R480" s="2"/>
      <c r="S480" s="2"/>
      <c r="T480" s="2"/>
      <c r="U480" s="2"/>
      <c r="V480" s="2"/>
      <c r="W480" s="2"/>
      <c r="X480" s="2"/>
    </row>
    <row r="481" ht="15.75" customHeight="1">
      <c r="R481" s="2"/>
      <c r="S481" s="2"/>
      <c r="T481" s="2"/>
      <c r="U481" s="2"/>
      <c r="V481" s="2"/>
      <c r="W481" s="2"/>
      <c r="X481" s="2"/>
    </row>
    <row r="482" ht="15.75" customHeight="1">
      <c r="R482" s="2"/>
      <c r="S482" s="2"/>
      <c r="T482" s="2"/>
      <c r="U482" s="2"/>
      <c r="V482" s="2"/>
      <c r="W482" s="2"/>
      <c r="X482" s="2"/>
    </row>
    <row r="483" ht="15.75" customHeight="1">
      <c r="R483" s="2"/>
      <c r="S483" s="2"/>
      <c r="T483" s="2"/>
      <c r="U483" s="2"/>
      <c r="V483" s="2"/>
      <c r="W483" s="2"/>
      <c r="X483" s="2"/>
    </row>
    <row r="484" ht="15.75" customHeight="1">
      <c r="R484" s="2"/>
      <c r="S484" s="2"/>
      <c r="T484" s="2"/>
      <c r="U484" s="2"/>
      <c r="V484" s="2"/>
      <c r="W484" s="2"/>
      <c r="X484" s="2"/>
    </row>
    <row r="485" ht="15.75" customHeight="1">
      <c r="R485" s="2"/>
      <c r="S485" s="2"/>
      <c r="T485" s="2"/>
      <c r="U485" s="2"/>
      <c r="V485" s="2"/>
      <c r="W485" s="2"/>
      <c r="X485" s="2"/>
    </row>
    <row r="486" ht="15.75" customHeight="1">
      <c r="R486" s="2"/>
      <c r="S486" s="2"/>
      <c r="T486" s="2"/>
      <c r="U486" s="2"/>
      <c r="V486" s="2"/>
      <c r="W486" s="2"/>
      <c r="X486" s="2"/>
    </row>
    <row r="487" ht="15.75" customHeight="1">
      <c r="R487" s="2"/>
      <c r="S487" s="2"/>
      <c r="T487" s="2"/>
      <c r="U487" s="2"/>
      <c r="V487" s="2"/>
      <c r="W487" s="2"/>
      <c r="X487" s="2"/>
    </row>
    <row r="488" ht="15.75" customHeight="1">
      <c r="R488" s="2"/>
      <c r="S488" s="2"/>
      <c r="T488" s="2"/>
      <c r="U488" s="2"/>
      <c r="V488" s="2"/>
      <c r="W488" s="2"/>
      <c r="X488" s="2"/>
    </row>
    <row r="489" ht="15.75" customHeight="1">
      <c r="R489" s="2"/>
      <c r="S489" s="2"/>
      <c r="T489" s="2"/>
      <c r="U489" s="2"/>
      <c r="V489" s="2"/>
      <c r="W489" s="2"/>
      <c r="X489" s="2"/>
    </row>
    <row r="490" ht="15.75" customHeight="1">
      <c r="R490" s="2"/>
      <c r="S490" s="2"/>
      <c r="T490" s="2"/>
      <c r="U490" s="2"/>
      <c r="V490" s="2"/>
      <c r="W490" s="2"/>
      <c r="X490" s="2"/>
    </row>
    <row r="491" ht="15.75" customHeight="1">
      <c r="R491" s="2"/>
      <c r="S491" s="2"/>
      <c r="T491" s="2"/>
      <c r="U491" s="2"/>
      <c r="V491" s="2"/>
      <c r="W491" s="2"/>
      <c r="X491" s="2"/>
    </row>
    <row r="492" ht="15.75" customHeight="1">
      <c r="R492" s="2"/>
      <c r="S492" s="2"/>
      <c r="T492" s="2"/>
      <c r="U492" s="2"/>
      <c r="V492" s="2"/>
      <c r="W492" s="2"/>
      <c r="X492" s="2"/>
    </row>
    <row r="493" ht="15.75" customHeight="1">
      <c r="R493" s="2"/>
      <c r="S493" s="2"/>
      <c r="T493" s="2"/>
      <c r="U493" s="2"/>
      <c r="V493" s="2"/>
      <c r="W493" s="2"/>
      <c r="X493" s="2"/>
    </row>
    <row r="494" ht="15.75" customHeight="1">
      <c r="R494" s="2"/>
      <c r="S494" s="2"/>
      <c r="T494" s="2"/>
      <c r="U494" s="2"/>
      <c r="V494" s="2"/>
      <c r="W494" s="2"/>
      <c r="X494" s="2"/>
    </row>
    <row r="495" ht="15.75" customHeight="1">
      <c r="R495" s="2"/>
      <c r="S495" s="2"/>
      <c r="T495" s="2"/>
      <c r="U495" s="2"/>
      <c r="V495" s="2"/>
      <c r="W495" s="2"/>
      <c r="X495" s="2"/>
    </row>
    <row r="496" ht="15.75" customHeight="1">
      <c r="R496" s="2"/>
      <c r="S496" s="2"/>
      <c r="T496" s="2"/>
      <c r="U496" s="2"/>
      <c r="V496" s="2"/>
      <c r="W496" s="2"/>
      <c r="X496" s="2"/>
    </row>
    <row r="497" ht="15.75" customHeight="1">
      <c r="R497" s="2"/>
      <c r="S497" s="2"/>
      <c r="T497" s="2"/>
      <c r="U497" s="2"/>
      <c r="V497" s="2"/>
      <c r="W497" s="2"/>
      <c r="X497" s="2"/>
    </row>
    <row r="498" ht="15.75" customHeight="1">
      <c r="R498" s="2"/>
      <c r="S498" s="2"/>
      <c r="T498" s="2"/>
      <c r="U498" s="2"/>
      <c r="V498" s="2"/>
      <c r="W498" s="2"/>
      <c r="X498" s="2"/>
    </row>
    <row r="499" ht="15.75" customHeight="1">
      <c r="R499" s="2"/>
      <c r="S499" s="2"/>
      <c r="T499" s="2"/>
      <c r="U499" s="2"/>
      <c r="V499" s="2"/>
      <c r="W499" s="2"/>
      <c r="X499" s="2"/>
    </row>
    <row r="500" ht="15.75" customHeight="1">
      <c r="R500" s="2"/>
      <c r="S500" s="2"/>
      <c r="T500" s="2"/>
      <c r="U500" s="2"/>
      <c r="V500" s="2"/>
      <c r="W500" s="2"/>
      <c r="X500" s="2"/>
    </row>
    <row r="501" ht="15.75" customHeight="1">
      <c r="R501" s="2"/>
      <c r="S501" s="2"/>
      <c r="T501" s="2"/>
      <c r="U501" s="2"/>
      <c r="V501" s="2"/>
      <c r="W501" s="2"/>
      <c r="X501" s="2"/>
    </row>
    <row r="502" ht="15.75" customHeight="1">
      <c r="R502" s="2"/>
      <c r="S502" s="2"/>
      <c r="T502" s="2"/>
      <c r="U502" s="2"/>
      <c r="V502" s="2"/>
      <c r="W502" s="2"/>
      <c r="X502" s="2"/>
    </row>
    <row r="503" ht="15.75" customHeight="1">
      <c r="R503" s="2"/>
      <c r="S503" s="2"/>
      <c r="T503" s="2"/>
      <c r="U503" s="2"/>
      <c r="V503" s="2"/>
      <c r="W503" s="2"/>
      <c r="X503" s="2"/>
    </row>
    <row r="504" ht="15.75" customHeight="1">
      <c r="R504" s="2"/>
      <c r="S504" s="2"/>
      <c r="T504" s="2"/>
      <c r="U504" s="2"/>
      <c r="V504" s="2"/>
      <c r="W504" s="2"/>
      <c r="X504" s="2"/>
    </row>
    <row r="505" ht="15.75" customHeight="1">
      <c r="R505" s="2"/>
      <c r="S505" s="2"/>
      <c r="T505" s="2"/>
      <c r="U505" s="2"/>
      <c r="V505" s="2"/>
      <c r="W505" s="2"/>
      <c r="X505" s="2"/>
    </row>
    <row r="506" ht="15.75" customHeight="1">
      <c r="R506" s="2"/>
      <c r="S506" s="2"/>
      <c r="T506" s="2"/>
      <c r="U506" s="2"/>
      <c r="V506" s="2"/>
      <c r="W506" s="2"/>
      <c r="X506" s="2"/>
    </row>
    <row r="507" ht="15.75" customHeight="1">
      <c r="R507" s="2"/>
      <c r="S507" s="2"/>
      <c r="T507" s="2"/>
      <c r="U507" s="2"/>
      <c r="V507" s="2"/>
      <c r="W507" s="2"/>
      <c r="X507" s="2"/>
    </row>
    <row r="508" ht="15.75" customHeight="1">
      <c r="R508" s="2"/>
      <c r="S508" s="2"/>
      <c r="T508" s="2"/>
      <c r="U508" s="2"/>
      <c r="V508" s="2"/>
      <c r="W508" s="2"/>
      <c r="X508" s="2"/>
    </row>
    <row r="509" ht="15.75" customHeight="1">
      <c r="R509" s="2"/>
      <c r="S509" s="2"/>
      <c r="T509" s="2"/>
      <c r="U509" s="2"/>
      <c r="V509" s="2"/>
      <c r="W509" s="2"/>
      <c r="X509" s="2"/>
    </row>
    <row r="510" ht="15.75" customHeight="1">
      <c r="R510" s="2"/>
      <c r="S510" s="2"/>
      <c r="T510" s="2"/>
      <c r="U510" s="2"/>
      <c r="V510" s="2"/>
      <c r="W510" s="2"/>
      <c r="X510" s="2"/>
    </row>
    <row r="511" ht="15.75" customHeight="1">
      <c r="R511" s="2"/>
      <c r="S511" s="2"/>
      <c r="T511" s="2"/>
      <c r="U511" s="2"/>
      <c r="V511" s="2"/>
      <c r="W511" s="2"/>
      <c r="X511" s="2"/>
    </row>
    <row r="512" ht="15.75" customHeight="1">
      <c r="R512" s="2"/>
      <c r="S512" s="2"/>
      <c r="T512" s="2"/>
      <c r="U512" s="2"/>
      <c r="V512" s="2"/>
      <c r="W512" s="2"/>
      <c r="X512" s="2"/>
    </row>
    <row r="513" ht="15.75" customHeight="1">
      <c r="R513" s="2"/>
      <c r="S513" s="2"/>
      <c r="T513" s="2"/>
      <c r="U513" s="2"/>
      <c r="V513" s="2"/>
      <c r="W513" s="2"/>
      <c r="X513" s="2"/>
    </row>
    <row r="514" ht="15.75" customHeight="1">
      <c r="R514" s="2"/>
      <c r="S514" s="2"/>
      <c r="T514" s="2"/>
      <c r="U514" s="2"/>
      <c r="V514" s="2"/>
      <c r="W514" s="2"/>
      <c r="X514" s="2"/>
    </row>
    <row r="515" ht="15.75" customHeight="1">
      <c r="R515" s="2"/>
      <c r="S515" s="2"/>
      <c r="T515" s="2"/>
      <c r="U515" s="2"/>
      <c r="V515" s="2"/>
      <c r="W515" s="2"/>
      <c r="X515" s="2"/>
    </row>
    <row r="516" ht="15.75" customHeight="1">
      <c r="R516" s="2"/>
      <c r="S516" s="2"/>
      <c r="T516" s="2"/>
      <c r="U516" s="2"/>
      <c r="V516" s="2"/>
      <c r="W516" s="2"/>
      <c r="X516" s="2"/>
    </row>
    <row r="517" ht="15.75" customHeight="1">
      <c r="R517" s="2"/>
      <c r="S517" s="2"/>
      <c r="T517" s="2"/>
      <c r="U517" s="2"/>
      <c r="V517" s="2"/>
      <c r="W517" s="2"/>
      <c r="X517" s="2"/>
    </row>
    <row r="518" ht="15.75" customHeight="1">
      <c r="R518" s="2"/>
      <c r="S518" s="2"/>
      <c r="T518" s="2"/>
      <c r="U518" s="2"/>
      <c r="V518" s="2"/>
      <c r="W518" s="2"/>
      <c r="X518" s="2"/>
    </row>
    <row r="519" ht="15.75" customHeight="1">
      <c r="R519" s="2"/>
      <c r="S519" s="2"/>
      <c r="T519" s="2"/>
      <c r="U519" s="2"/>
      <c r="V519" s="2"/>
      <c r="W519" s="2"/>
      <c r="X519" s="2"/>
    </row>
    <row r="520" ht="15.75" customHeight="1">
      <c r="R520" s="2"/>
      <c r="S520" s="2"/>
      <c r="T520" s="2"/>
      <c r="U520" s="2"/>
      <c r="V520" s="2"/>
      <c r="W520" s="2"/>
      <c r="X520" s="2"/>
    </row>
    <row r="521" ht="15.75" customHeight="1">
      <c r="R521" s="2"/>
      <c r="S521" s="2"/>
      <c r="T521" s="2"/>
      <c r="U521" s="2"/>
      <c r="V521" s="2"/>
      <c r="W521" s="2"/>
      <c r="X521" s="2"/>
    </row>
    <row r="522" ht="15.75" customHeight="1">
      <c r="R522" s="2"/>
      <c r="S522" s="2"/>
      <c r="T522" s="2"/>
      <c r="U522" s="2"/>
      <c r="V522" s="2"/>
      <c r="W522" s="2"/>
      <c r="X522" s="2"/>
    </row>
    <row r="523" ht="15.75" customHeight="1">
      <c r="R523" s="2"/>
      <c r="S523" s="2"/>
      <c r="T523" s="2"/>
      <c r="U523" s="2"/>
      <c r="V523" s="2"/>
      <c r="W523" s="2"/>
      <c r="X523" s="2"/>
    </row>
    <row r="524" ht="15.75" customHeight="1">
      <c r="R524" s="2"/>
      <c r="S524" s="2"/>
      <c r="T524" s="2"/>
      <c r="U524" s="2"/>
      <c r="V524" s="2"/>
      <c r="W524" s="2"/>
      <c r="X524" s="2"/>
    </row>
    <row r="525" ht="15.75" customHeight="1">
      <c r="R525" s="2"/>
      <c r="S525" s="2"/>
      <c r="T525" s="2"/>
      <c r="U525" s="2"/>
      <c r="V525" s="2"/>
      <c r="W525" s="2"/>
      <c r="X525" s="2"/>
    </row>
    <row r="526" ht="15.75" customHeight="1">
      <c r="R526" s="2"/>
      <c r="S526" s="2"/>
      <c r="T526" s="2"/>
      <c r="U526" s="2"/>
      <c r="V526" s="2"/>
      <c r="W526" s="2"/>
      <c r="X526" s="2"/>
    </row>
    <row r="527" ht="15.75" customHeight="1">
      <c r="R527" s="2"/>
      <c r="S527" s="2"/>
      <c r="T527" s="2"/>
      <c r="U527" s="2"/>
      <c r="V527" s="2"/>
      <c r="W527" s="2"/>
      <c r="X527" s="2"/>
    </row>
    <row r="528" ht="15.75" customHeight="1">
      <c r="R528" s="2"/>
      <c r="S528" s="2"/>
      <c r="T528" s="2"/>
      <c r="U528" s="2"/>
      <c r="V528" s="2"/>
      <c r="W528" s="2"/>
      <c r="X528" s="2"/>
    </row>
    <row r="529" ht="15.75" customHeight="1">
      <c r="R529" s="2"/>
      <c r="S529" s="2"/>
      <c r="T529" s="2"/>
      <c r="U529" s="2"/>
      <c r="V529" s="2"/>
      <c r="W529" s="2"/>
      <c r="X529" s="2"/>
    </row>
    <row r="530" ht="15.75" customHeight="1">
      <c r="R530" s="2"/>
      <c r="S530" s="2"/>
      <c r="T530" s="2"/>
      <c r="U530" s="2"/>
      <c r="V530" s="2"/>
      <c r="W530" s="2"/>
      <c r="X530" s="2"/>
    </row>
    <row r="531" ht="15.75" customHeight="1">
      <c r="R531" s="2"/>
      <c r="S531" s="2"/>
      <c r="T531" s="2"/>
      <c r="U531" s="2"/>
      <c r="V531" s="2"/>
      <c r="W531" s="2"/>
      <c r="X531" s="2"/>
    </row>
    <row r="532" ht="15.75" customHeight="1">
      <c r="R532" s="2"/>
      <c r="S532" s="2"/>
      <c r="T532" s="2"/>
      <c r="U532" s="2"/>
      <c r="V532" s="2"/>
      <c r="W532" s="2"/>
      <c r="X532" s="2"/>
    </row>
    <row r="533" ht="15.75" customHeight="1">
      <c r="R533" s="2"/>
      <c r="S533" s="2"/>
      <c r="T533" s="2"/>
      <c r="U533" s="2"/>
      <c r="V533" s="2"/>
      <c r="W533" s="2"/>
      <c r="X533" s="2"/>
    </row>
    <row r="534" ht="15.75" customHeight="1">
      <c r="R534" s="2"/>
      <c r="S534" s="2"/>
      <c r="T534" s="2"/>
      <c r="U534" s="2"/>
      <c r="V534" s="2"/>
      <c r="W534" s="2"/>
      <c r="X534" s="2"/>
    </row>
    <row r="535" ht="15.75" customHeight="1">
      <c r="R535" s="2"/>
      <c r="S535" s="2"/>
      <c r="T535" s="2"/>
      <c r="U535" s="2"/>
      <c r="V535" s="2"/>
      <c r="W535" s="2"/>
      <c r="X535" s="2"/>
    </row>
    <row r="536" ht="15.75" customHeight="1">
      <c r="R536" s="2"/>
      <c r="S536" s="2"/>
      <c r="T536" s="2"/>
      <c r="U536" s="2"/>
      <c r="V536" s="2"/>
      <c r="W536" s="2"/>
      <c r="X536" s="2"/>
    </row>
    <row r="537" ht="15.75" customHeight="1">
      <c r="R537" s="2"/>
      <c r="S537" s="2"/>
      <c r="T537" s="2"/>
      <c r="U537" s="2"/>
      <c r="V537" s="2"/>
      <c r="W537" s="2"/>
      <c r="X537" s="2"/>
    </row>
    <row r="538" ht="15.75" customHeight="1">
      <c r="R538" s="2"/>
      <c r="S538" s="2"/>
      <c r="T538" s="2"/>
      <c r="U538" s="2"/>
      <c r="V538" s="2"/>
      <c r="W538" s="2"/>
      <c r="X538" s="2"/>
    </row>
    <row r="539" ht="15.75" customHeight="1">
      <c r="R539" s="2"/>
      <c r="S539" s="2"/>
      <c r="T539" s="2"/>
      <c r="U539" s="2"/>
      <c r="V539" s="2"/>
      <c r="W539" s="2"/>
      <c r="X539" s="2"/>
    </row>
    <row r="540" ht="15.75" customHeight="1">
      <c r="R540" s="2"/>
      <c r="S540" s="2"/>
      <c r="T540" s="2"/>
      <c r="U540" s="2"/>
      <c r="V540" s="2"/>
      <c r="W540" s="2"/>
      <c r="X540" s="2"/>
    </row>
    <row r="541" ht="15.75" customHeight="1">
      <c r="R541" s="2"/>
      <c r="S541" s="2"/>
      <c r="T541" s="2"/>
      <c r="U541" s="2"/>
      <c r="V541" s="2"/>
      <c r="W541" s="2"/>
      <c r="X541" s="2"/>
    </row>
    <row r="542" ht="15.75" customHeight="1">
      <c r="R542" s="2"/>
      <c r="S542" s="2"/>
      <c r="T542" s="2"/>
      <c r="U542" s="2"/>
      <c r="V542" s="2"/>
      <c r="W542" s="2"/>
      <c r="X542" s="2"/>
    </row>
    <row r="543" ht="15.75" customHeight="1">
      <c r="R543" s="2"/>
      <c r="S543" s="2"/>
      <c r="T543" s="2"/>
      <c r="U543" s="2"/>
      <c r="V543" s="2"/>
      <c r="W543" s="2"/>
      <c r="X543" s="2"/>
    </row>
    <row r="544" ht="15.75" customHeight="1">
      <c r="R544" s="2"/>
      <c r="S544" s="2"/>
      <c r="T544" s="2"/>
      <c r="U544" s="2"/>
      <c r="V544" s="2"/>
      <c r="W544" s="2"/>
      <c r="X544" s="2"/>
    </row>
    <row r="545" ht="15.75" customHeight="1">
      <c r="R545" s="2"/>
      <c r="S545" s="2"/>
      <c r="T545" s="2"/>
      <c r="U545" s="2"/>
      <c r="V545" s="2"/>
      <c r="W545" s="2"/>
      <c r="X545" s="2"/>
    </row>
    <row r="546" ht="15.75" customHeight="1">
      <c r="R546" s="2"/>
      <c r="S546" s="2"/>
      <c r="T546" s="2"/>
      <c r="U546" s="2"/>
      <c r="V546" s="2"/>
      <c r="W546" s="2"/>
      <c r="X546" s="2"/>
    </row>
    <row r="547" ht="15.75" customHeight="1">
      <c r="R547" s="2"/>
      <c r="S547" s="2"/>
      <c r="T547" s="2"/>
      <c r="U547" s="2"/>
      <c r="V547" s="2"/>
      <c r="W547" s="2"/>
      <c r="X547" s="2"/>
    </row>
    <row r="548" ht="15.75" customHeight="1">
      <c r="R548" s="2"/>
      <c r="S548" s="2"/>
      <c r="T548" s="2"/>
      <c r="U548" s="2"/>
      <c r="V548" s="2"/>
      <c r="W548" s="2"/>
      <c r="X548" s="2"/>
    </row>
    <row r="549" ht="15.75" customHeight="1">
      <c r="R549" s="2"/>
      <c r="S549" s="2"/>
      <c r="T549" s="2"/>
      <c r="U549" s="2"/>
      <c r="V549" s="2"/>
      <c r="W549" s="2"/>
      <c r="X549" s="2"/>
    </row>
    <row r="550" ht="15.75" customHeight="1">
      <c r="R550" s="2"/>
      <c r="S550" s="2"/>
      <c r="T550" s="2"/>
      <c r="U550" s="2"/>
      <c r="V550" s="2"/>
      <c r="W550" s="2"/>
      <c r="X550" s="2"/>
    </row>
    <row r="551" ht="15.75" customHeight="1">
      <c r="R551" s="2"/>
      <c r="S551" s="2"/>
      <c r="T551" s="2"/>
      <c r="U551" s="2"/>
      <c r="V551" s="2"/>
      <c r="W551" s="2"/>
      <c r="X551" s="2"/>
    </row>
    <row r="552" ht="15.75" customHeight="1">
      <c r="R552" s="2"/>
      <c r="S552" s="2"/>
      <c r="T552" s="2"/>
      <c r="U552" s="2"/>
      <c r="V552" s="2"/>
      <c r="W552" s="2"/>
      <c r="X552" s="2"/>
    </row>
    <row r="553" ht="15.75" customHeight="1">
      <c r="R553" s="2"/>
      <c r="S553" s="2"/>
      <c r="T553" s="2"/>
      <c r="U553" s="2"/>
      <c r="V553" s="2"/>
      <c r="W553" s="2"/>
      <c r="X553" s="2"/>
    </row>
    <row r="554" ht="15.75" customHeight="1">
      <c r="R554" s="2"/>
      <c r="S554" s="2"/>
      <c r="T554" s="2"/>
      <c r="U554" s="2"/>
      <c r="V554" s="2"/>
      <c r="W554" s="2"/>
      <c r="X554" s="2"/>
    </row>
    <row r="555" ht="15.75" customHeight="1">
      <c r="R555" s="2"/>
      <c r="S555" s="2"/>
      <c r="T555" s="2"/>
      <c r="U555" s="2"/>
      <c r="V555" s="2"/>
      <c r="W555" s="2"/>
      <c r="X555" s="2"/>
    </row>
    <row r="556" ht="15.75" customHeight="1">
      <c r="R556" s="2"/>
      <c r="S556" s="2"/>
      <c r="T556" s="2"/>
      <c r="U556" s="2"/>
      <c r="V556" s="2"/>
      <c r="W556" s="2"/>
      <c r="X556" s="2"/>
    </row>
    <row r="557" ht="15.75" customHeight="1">
      <c r="R557" s="2"/>
      <c r="S557" s="2"/>
      <c r="T557" s="2"/>
      <c r="U557" s="2"/>
      <c r="V557" s="2"/>
      <c r="W557" s="2"/>
      <c r="X557" s="2"/>
    </row>
    <row r="558" ht="15.75" customHeight="1">
      <c r="R558" s="2"/>
      <c r="S558" s="2"/>
      <c r="T558" s="2"/>
      <c r="U558" s="2"/>
      <c r="V558" s="2"/>
      <c r="W558" s="2"/>
      <c r="X558" s="2"/>
    </row>
    <row r="559" ht="15.75" customHeight="1">
      <c r="R559" s="2"/>
      <c r="S559" s="2"/>
      <c r="T559" s="2"/>
      <c r="U559" s="2"/>
      <c r="V559" s="2"/>
      <c r="W559" s="2"/>
      <c r="X559" s="2"/>
    </row>
    <row r="560" ht="15.75" customHeight="1">
      <c r="R560" s="2"/>
      <c r="S560" s="2"/>
      <c r="T560" s="2"/>
      <c r="U560" s="2"/>
      <c r="V560" s="2"/>
      <c r="W560" s="2"/>
      <c r="X560" s="2"/>
    </row>
    <row r="561" ht="15.75" customHeight="1">
      <c r="R561" s="2"/>
      <c r="S561" s="2"/>
      <c r="T561" s="2"/>
      <c r="U561" s="2"/>
      <c r="V561" s="2"/>
      <c r="W561" s="2"/>
      <c r="X561" s="2"/>
    </row>
    <row r="562" ht="15.75" customHeight="1">
      <c r="R562" s="2"/>
      <c r="S562" s="2"/>
      <c r="T562" s="2"/>
      <c r="U562" s="2"/>
      <c r="V562" s="2"/>
      <c r="W562" s="2"/>
      <c r="X562" s="2"/>
    </row>
    <row r="563" ht="15.75" customHeight="1">
      <c r="R563" s="2"/>
      <c r="S563" s="2"/>
      <c r="T563" s="2"/>
      <c r="U563" s="2"/>
      <c r="V563" s="2"/>
      <c r="W563" s="2"/>
      <c r="X563" s="2"/>
    </row>
    <row r="564" ht="15.75" customHeight="1">
      <c r="R564" s="2"/>
      <c r="S564" s="2"/>
      <c r="T564" s="2"/>
      <c r="U564" s="2"/>
      <c r="V564" s="2"/>
      <c r="W564" s="2"/>
      <c r="X564" s="2"/>
    </row>
    <row r="565" ht="15.75" customHeight="1">
      <c r="R565" s="2"/>
      <c r="S565" s="2"/>
      <c r="T565" s="2"/>
      <c r="U565" s="2"/>
      <c r="V565" s="2"/>
      <c r="W565" s="2"/>
      <c r="X565" s="2"/>
    </row>
    <row r="566" ht="15.75" customHeight="1">
      <c r="R566" s="2"/>
      <c r="S566" s="2"/>
      <c r="T566" s="2"/>
      <c r="U566" s="2"/>
      <c r="V566" s="2"/>
      <c r="W566" s="2"/>
      <c r="X566" s="2"/>
    </row>
    <row r="567" ht="15.75" customHeight="1">
      <c r="R567" s="2"/>
      <c r="S567" s="2"/>
      <c r="T567" s="2"/>
      <c r="U567" s="2"/>
      <c r="V567" s="2"/>
      <c r="W567" s="2"/>
      <c r="X567" s="2"/>
    </row>
    <row r="568" ht="15.75" customHeight="1">
      <c r="R568" s="2"/>
      <c r="S568" s="2"/>
      <c r="T568" s="2"/>
      <c r="U568" s="2"/>
      <c r="V568" s="2"/>
      <c r="W568" s="2"/>
      <c r="X568" s="2"/>
    </row>
    <row r="569" ht="15.75" customHeight="1">
      <c r="R569" s="2"/>
      <c r="S569" s="2"/>
      <c r="T569" s="2"/>
      <c r="U569" s="2"/>
      <c r="V569" s="2"/>
      <c r="W569" s="2"/>
      <c r="X569" s="2"/>
    </row>
    <row r="570" ht="15.75" customHeight="1">
      <c r="R570" s="2"/>
      <c r="S570" s="2"/>
      <c r="T570" s="2"/>
      <c r="U570" s="2"/>
      <c r="V570" s="2"/>
      <c r="W570" s="2"/>
      <c r="X570" s="2"/>
    </row>
    <row r="571" ht="15.75" customHeight="1">
      <c r="R571" s="2"/>
      <c r="S571" s="2"/>
      <c r="T571" s="2"/>
      <c r="U571" s="2"/>
      <c r="V571" s="2"/>
      <c r="W571" s="2"/>
      <c r="X571" s="2"/>
    </row>
    <row r="572" ht="15.75" customHeight="1">
      <c r="R572" s="2"/>
      <c r="S572" s="2"/>
      <c r="T572" s="2"/>
      <c r="U572" s="2"/>
      <c r="V572" s="2"/>
      <c r="W572" s="2"/>
      <c r="X572" s="2"/>
    </row>
    <row r="573" ht="15.75" customHeight="1">
      <c r="R573" s="2"/>
      <c r="S573" s="2"/>
      <c r="T573" s="2"/>
      <c r="U573" s="2"/>
      <c r="V573" s="2"/>
      <c r="W573" s="2"/>
      <c r="X573" s="2"/>
    </row>
    <row r="574" ht="15.75" customHeight="1">
      <c r="R574" s="2"/>
      <c r="S574" s="2"/>
      <c r="T574" s="2"/>
      <c r="U574" s="2"/>
      <c r="V574" s="2"/>
      <c r="W574" s="2"/>
      <c r="X574" s="2"/>
    </row>
    <row r="575" ht="15.75" customHeight="1">
      <c r="R575" s="2"/>
      <c r="S575" s="2"/>
      <c r="T575" s="2"/>
      <c r="U575" s="2"/>
      <c r="V575" s="2"/>
      <c r="W575" s="2"/>
      <c r="X575" s="2"/>
    </row>
    <row r="576" ht="15.75" customHeight="1">
      <c r="R576" s="2"/>
      <c r="S576" s="2"/>
      <c r="T576" s="2"/>
      <c r="U576" s="2"/>
      <c r="V576" s="2"/>
      <c r="W576" s="2"/>
      <c r="X576" s="2"/>
    </row>
    <row r="577" ht="15.75" customHeight="1">
      <c r="R577" s="2"/>
      <c r="S577" s="2"/>
      <c r="T577" s="2"/>
      <c r="U577" s="2"/>
      <c r="V577" s="2"/>
      <c r="W577" s="2"/>
      <c r="X577" s="2"/>
    </row>
    <row r="578" ht="15.75" customHeight="1">
      <c r="R578" s="2"/>
      <c r="S578" s="2"/>
      <c r="T578" s="2"/>
      <c r="U578" s="2"/>
      <c r="V578" s="2"/>
      <c r="W578" s="2"/>
      <c r="X578" s="2"/>
    </row>
    <row r="579" ht="15.75" customHeight="1">
      <c r="R579" s="2"/>
      <c r="S579" s="2"/>
      <c r="T579" s="2"/>
      <c r="U579" s="2"/>
      <c r="V579" s="2"/>
      <c r="W579" s="2"/>
      <c r="X579" s="2"/>
    </row>
    <row r="580" ht="15.75" customHeight="1">
      <c r="R580" s="2"/>
      <c r="S580" s="2"/>
      <c r="T580" s="2"/>
      <c r="U580" s="2"/>
      <c r="V580" s="2"/>
      <c r="W580" s="2"/>
      <c r="X580" s="2"/>
    </row>
    <row r="581" ht="15.75" customHeight="1">
      <c r="R581" s="2"/>
      <c r="S581" s="2"/>
      <c r="T581" s="2"/>
      <c r="U581" s="2"/>
      <c r="V581" s="2"/>
      <c r="W581" s="2"/>
      <c r="X581" s="2"/>
    </row>
    <row r="582" ht="15.75" customHeight="1">
      <c r="R582" s="2"/>
      <c r="S582" s="2"/>
      <c r="T582" s="2"/>
      <c r="U582" s="2"/>
      <c r="V582" s="2"/>
      <c r="W582" s="2"/>
      <c r="X582" s="2"/>
    </row>
    <row r="583" ht="15.75" customHeight="1">
      <c r="R583" s="2"/>
      <c r="S583" s="2"/>
      <c r="T583" s="2"/>
      <c r="U583" s="2"/>
      <c r="V583" s="2"/>
      <c r="W583" s="2"/>
      <c r="X583" s="2"/>
    </row>
    <row r="584" ht="15.75" customHeight="1">
      <c r="R584" s="2"/>
      <c r="S584" s="2"/>
      <c r="T584" s="2"/>
      <c r="U584" s="2"/>
      <c r="V584" s="2"/>
      <c r="W584" s="2"/>
      <c r="X584" s="2"/>
    </row>
    <row r="585" ht="15.75" customHeight="1">
      <c r="R585" s="2"/>
      <c r="S585" s="2"/>
      <c r="T585" s="2"/>
      <c r="U585" s="2"/>
      <c r="V585" s="2"/>
      <c r="W585" s="2"/>
      <c r="X585" s="2"/>
    </row>
    <row r="586" ht="15.75" customHeight="1">
      <c r="R586" s="2"/>
      <c r="S586" s="2"/>
      <c r="T586" s="2"/>
      <c r="U586" s="2"/>
      <c r="V586" s="2"/>
      <c r="W586" s="2"/>
      <c r="X586" s="2"/>
    </row>
    <row r="587" ht="15.75" customHeight="1">
      <c r="R587" s="2"/>
      <c r="S587" s="2"/>
      <c r="T587" s="2"/>
      <c r="U587" s="2"/>
      <c r="V587" s="2"/>
      <c r="W587" s="2"/>
      <c r="X587" s="2"/>
    </row>
    <row r="588" ht="15.75" customHeight="1">
      <c r="R588" s="2"/>
      <c r="S588" s="2"/>
      <c r="T588" s="2"/>
      <c r="U588" s="2"/>
      <c r="V588" s="2"/>
      <c r="W588" s="2"/>
      <c r="X588" s="2"/>
    </row>
    <row r="589" ht="15.75" customHeight="1">
      <c r="R589" s="2"/>
      <c r="S589" s="2"/>
      <c r="T589" s="2"/>
      <c r="U589" s="2"/>
      <c r="V589" s="2"/>
      <c r="W589" s="2"/>
      <c r="X589" s="2"/>
    </row>
    <row r="590" ht="15.75" customHeight="1">
      <c r="R590" s="2"/>
      <c r="S590" s="2"/>
      <c r="T590" s="2"/>
      <c r="U590" s="2"/>
      <c r="V590" s="2"/>
      <c r="W590" s="2"/>
      <c r="X590" s="2"/>
    </row>
    <row r="591" ht="15.75" customHeight="1">
      <c r="R591" s="2"/>
      <c r="S591" s="2"/>
      <c r="T591" s="2"/>
      <c r="U591" s="2"/>
      <c r="V591" s="2"/>
      <c r="W591" s="2"/>
      <c r="X591" s="2"/>
    </row>
    <row r="592" ht="15.75" customHeight="1">
      <c r="R592" s="2"/>
      <c r="S592" s="2"/>
      <c r="T592" s="2"/>
      <c r="U592" s="2"/>
      <c r="V592" s="2"/>
      <c r="W592" s="2"/>
      <c r="X592" s="2"/>
    </row>
    <row r="593" ht="15.75" customHeight="1">
      <c r="R593" s="2"/>
      <c r="S593" s="2"/>
      <c r="T593" s="2"/>
      <c r="U593" s="2"/>
      <c r="V593" s="2"/>
      <c r="W593" s="2"/>
      <c r="X593" s="2"/>
    </row>
    <row r="594" ht="15.75" customHeight="1">
      <c r="R594" s="2"/>
      <c r="S594" s="2"/>
      <c r="T594" s="2"/>
      <c r="U594" s="2"/>
      <c r="V594" s="2"/>
      <c r="W594" s="2"/>
      <c r="X594" s="2"/>
    </row>
    <row r="595" ht="15.75" customHeight="1">
      <c r="R595" s="2"/>
      <c r="S595" s="2"/>
      <c r="T595" s="2"/>
      <c r="U595" s="2"/>
      <c r="V595" s="2"/>
      <c r="W595" s="2"/>
      <c r="X595" s="2"/>
    </row>
    <row r="596" ht="15.75" customHeight="1">
      <c r="R596" s="2"/>
      <c r="S596" s="2"/>
      <c r="T596" s="2"/>
      <c r="U596" s="2"/>
      <c r="V596" s="2"/>
      <c r="W596" s="2"/>
      <c r="X596" s="2"/>
    </row>
    <row r="597" ht="15.75" customHeight="1">
      <c r="R597" s="2"/>
      <c r="S597" s="2"/>
      <c r="T597" s="2"/>
      <c r="U597" s="2"/>
      <c r="V597" s="2"/>
      <c r="W597" s="2"/>
      <c r="X597" s="2"/>
    </row>
    <row r="598" ht="15.75" customHeight="1">
      <c r="R598" s="2"/>
      <c r="S598" s="2"/>
      <c r="T598" s="2"/>
      <c r="U598" s="2"/>
      <c r="V598" s="2"/>
      <c r="W598" s="2"/>
      <c r="X598" s="2"/>
    </row>
    <row r="599" ht="15.75" customHeight="1">
      <c r="R599" s="2"/>
      <c r="S599" s="2"/>
      <c r="T599" s="2"/>
      <c r="U599" s="2"/>
      <c r="V599" s="2"/>
      <c r="W599" s="2"/>
      <c r="X599" s="2"/>
    </row>
    <row r="600" ht="15.75" customHeight="1">
      <c r="R600" s="2"/>
      <c r="S600" s="2"/>
      <c r="T600" s="2"/>
      <c r="U600" s="2"/>
      <c r="V600" s="2"/>
      <c r="W600" s="2"/>
      <c r="X600" s="2"/>
    </row>
    <row r="601" ht="15.75" customHeight="1">
      <c r="R601" s="2"/>
      <c r="S601" s="2"/>
      <c r="T601" s="2"/>
      <c r="U601" s="2"/>
      <c r="V601" s="2"/>
      <c r="W601" s="2"/>
      <c r="X601" s="2"/>
    </row>
    <row r="602" ht="15.75" customHeight="1">
      <c r="R602" s="2"/>
      <c r="S602" s="2"/>
      <c r="T602" s="2"/>
      <c r="U602" s="2"/>
      <c r="V602" s="2"/>
      <c r="W602" s="2"/>
      <c r="X602" s="2"/>
    </row>
    <row r="603" ht="15.75" customHeight="1">
      <c r="R603" s="2"/>
      <c r="S603" s="2"/>
      <c r="T603" s="2"/>
      <c r="U603" s="2"/>
      <c r="V603" s="2"/>
      <c r="W603" s="2"/>
      <c r="X603" s="2"/>
    </row>
    <row r="604" ht="15.75" customHeight="1">
      <c r="R604" s="2"/>
      <c r="S604" s="2"/>
      <c r="T604" s="2"/>
      <c r="U604" s="2"/>
      <c r="V604" s="2"/>
      <c r="W604" s="2"/>
      <c r="X604" s="2"/>
    </row>
    <row r="605" ht="15.75" customHeight="1">
      <c r="R605" s="2"/>
      <c r="S605" s="2"/>
      <c r="T605" s="2"/>
      <c r="U605" s="2"/>
      <c r="V605" s="2"/>
      <c r="W605" s="2"/>
      <c r="X605" s="2"/>
    </row>
    <row r="606" ht="15.75" customHeight="1">
      <c r="R606" s="2"/>
      <c r="S606" s="2"/>
      <c r="T606" s="2"/>
      <c r="U606" s="2"/>
      <c r="V606" s="2"/>
      <c r="W606" s="2"/>
      <c r="X606" s="2"/>
    </row>
    <row r="607" ht="15.75" customHeight="1">
      <c r="R607" s="2"/>
      <c r="S607" s="2"/>
      <c r="T607" s="2"/>
      <c r="U607" s="2"/>
      <c r="V607" s="2"/>
      <c r="W607" s="2"/>
      <c r="X607" s="2"/>
    </row>
    <row r="608" ht="15.75" customHeight="1">
      <c r="R608" s="2"/>
      <c r="S608" s="2"/>
      <c r="T608" s="2"/>
      <c r="U608" s="2"/>
      <c r="V608" s="2"/>
      <c r="W608" s="2"/>
      <c r="X608" s="2"/>
    </row>
    <row r="609" ht="15.75" customHeight="1">
      <c r="R609" s="2"/>
      <c r="S609" s="2"/>
      <c r="T609" s="2"/>
      <c r="U609" s="2"/>
      <c r="V609" s="2"/>
      <c r="W609" s="2"/>
      <c r="X609" s="2"/>
    </row>
    <row r="610" ht="15.75" customHeight="1">
      <c r="R610" s="2"/>
      <c r="S610" s="2"/>
      <c r="T610" s="2"/>
      <c r="U610" s="2"/>
      <c r="V610" s="2"/>
      <c r="W610" s="2"/>
      <c r="X610" s="2"/>
    </row>
    <row r="611" ht="15.75" customHeight="1">
      <c r="R611" s="2"/>
      <c r="S611" s="2"/>
      <c r="T611" s="2"/>
      <c r="U611" s="2"/>
      <c r="V611" s="2"/>
      <c r="W611" s="2"/>
      <c r="X611" s="2"/>
    </row>
    <row r="612" ht="15.75" customHeight="1">
      <c r="R612" s="2"/>
      <c r="S612" s="2"/>
      <c r="T612" s="2"/>
      <c r="U612" s="2"/>
      <c r="V612" s="2"/>
      <c r="W612" s="2"/>
      <c r="X612" s="2"/>
    </row>
    <row r="613" ht="15.75" customHeight="1">
      <c r="R613" s="2"/>
      <c r="S613" s="2"/>
      <c r="T613" s="2"/>
      <c r="U613" s="2"/>
      <c r="V613" s="2"/>
      <c r="W613" s="2"/>
      <c r="X613" s="2"/>
    </row>
    <row r="614" ht="15.75" customHeight="1">
      <c r="R614" s="2"/>
      <c r="S614" s="2"/>
      <c r="T614" s="2"/>
      <c r="U614" s="2"/>
      <c r="V614" s="2"/>
      <c r="W614" s="2"/>
      <c r="X614" s="2"/>
    </row>
    <row r="615" ht="15.75" customHeight="1">
      <c r="R615" s="2"/>
      <c r="S615" s="2"/>
      <c r="T615" s="2"/>
      <c r="U615" s="2"/>
      <c r="V615" s="2"/>
      <c r="W615" s="2"/>
      <c r="X615" s="2"/>
    </row>
    <row r="616" ht="15.75" customHeight="1">
      <c r="R616" s="2"/>
      <c r="S616" s="2"/>
      <c r="T616" s="2"/>
      <c r="U616" s="2"/>
      <c r="V616" s="2"/>
      <c r="W616" s="2"/>
      <c r="X616" s="2"/>
    </row>
    <row r="617" ht="15.75" customHeight="1">
      <c r="R617" s="2"/>
      <c r="S617" s="2"/>
      <c r="T617" s="2"/>
      <c r="U617" s="2"/>
      <c r="V617" s="2"/>
      <c r="W617" s="2"/>
      <c r="X617" s="2"/>
    </row>
    <row r="618" ht="15.75" customHeight="1">
      <c r="R618" s="2"/>
      <c r="S618" s="2"/>
      <c r="T618" s="2"/>
      <c r="U618" s="2"/>
      <c r="V618" s="2"/>
      <c r="W618" s="2"/>
      <c r="X618" s="2"/>
    </row>
    <row r="619" ht="15.75" customHeight="1">
      <c r="R619" s="2"/>
      <c r="S619" s="2"/>
      <c r="T619" s="2"/>
      <c r="U619" s="2"/>
      <c r="V619" s="2"/>
      <c r="W619" s="2"/>
      <c r="X619" s="2"/>
    </row>
    <row r="620" ht="15.75" customHeight="1">
      <c r="R620" s="2"/>
      <c r="S620" s="2"/>
      <c r="T620" s="2"/>
      <c r="U620" s="2"/>
      <c r="V620" s="2"/>
      <c r="W620" s="2"/>
      <c r="X620" s="2"/>
    </row>
    <row r="621" ht="15.75" customHeight="1">
      <c r="R621" s="2"/>
      <c r="S621" s="2"/>
      <c r="T621" s="2"/>
      <c r="U621" s="2"/>
      <c r="V621" s="2"/>
      <c r="W621" s="2"/>
      <c r="X621" s="2"/>
    </row>
    <row r="622" ht="15.75" customHeight="1">
      <c r="R622" s="2"/>
      <c r="S622" s="2"/>
      <c r="T622" s="2"/>
      <c r="U622" s="2"/>
      <c r="V622" s="2"/>
      <c r="W622" s="2"/>
      <c r="X622" s="2"/>
    </row>
    <row r="623" ht="15.75" customHeight="1">
      <c r="R623" s="2"/>
      <c r="S623" s="2"/>
      <c r="T623" s="2"/>
      <c r="U623" s="2"/>
      <c r="V623" s="2"/>
      <c r="W623" s="2"/>
      <c r="X623" s="2"/>
    </row>
    <row r="624" ht="15.75" customHeight="1">
      <c r="R624" s="2"/>
      <c r="S624" s="2"/>
      <c r="T624" s="2"/>
      <c r="U624" s="2"/>
      <c r="V624" s="2"/>
      <c r="W624" s="2"/>
      <c r="X624" s="2"/>
    </row>
    <row r="625" ht="15.75" customHeight="1">
      <c r="R625" s="2"/>
      <c r="S625" s="2"/>
      <c r="T625" s="2"/>
      <c r="U625" s="2"/>
      <c r="V625" s="2"/>
      <c r="W625" s="2"/>
      <c r="X625" s="2"/>
    </row>
    <row r="626" ht="15.75" customHeight="1">
      <c r="R626" s="2"/>
      <c r="S626" s="2"/>
      <c r="T626" s="2"/>
      <c r="U626" s="2"/>
      <c r="V626" s="2"/>
      <c r="W626" s="2"/>
      <c r="X626" s="2"/>
    </row>
    <row r="627" ht="15.75" customHeight="1">
      <c r="R627" s="2"/>
      <c r="S627" s="2"/>
      <c r="T627" s="2"/>
      <c r="U627" s="2"/>
      <c r="V627" s="2"/>
      <c r="W627" s="2"/>
      <c r="X627" s="2"/>
    </row>
    <row r="628" ht="15.75" customHeight="1">
      <c r="R628" s="2"/>
      <c r="S628" s="2"/>
      <c r="T628" s="2"/>
      <c r="U628" s="2"/>
      <c r="V628" s="2"/>
      <c r="W628" s="2"/>
      <c r="X628" s="2"/>
    </row>
    <row r="629" ht="15.75" customHeight="1">
      <c r="R629" s="2"/>
      <c r="S629" s="2"/>
      <c r="T629" s="2"/>
      <c r="U629" s="2"/>
      <c r="V629" s="2"/>
      <c r="W629" s="2"/>
      <c r="X629" s="2"/>
    </row>
    <row r="630" ht="15.75" customHeight="1">
      <c r="R630" s="2"/>
      <c r="S630" s="2"/>
      <c r="T630" s="2"/>
      <c r="U630" s="2"/>
      <c r="V630" s="2"/>
      <c r="W630" s="2"/>
      <c r="X630" s="2"/>
    </row>
    <row r="631" ht="15.75" customHeight="1">
      <c r="R631" s="2"/>
      <c r="S631" s="2"/>
      <c r="T631" s="2"/>
      <c r="U631" s="2"/>
      <c r="V631" s="2"/>
      <c r="W631" s="2"/>
      <c r="X631" s="2"/>
    </row>
    <row r="632" ht="15.75" customHeight="1">
      <c r="R632" s="2"/>
      <c r="S632" s="2"/>
      <c r="T632" s="2"/>
      <c r="U632" s="2"/>
      <c r="V632" s="2"/>
      <c r="W632" s="2"/>
      <c r="X632" s="2"/>
    </row>
    <row r="633" ht="15.75" customHeight="1">
      <c r="R633" s="2"/>
      <c r="S633" s="2"/>
      <c r="T633" s="2"/>
      <c r="U633" s="2"/>
      <c r="V633" s="2"/>
      <c r="W633" s="2"/>
      <c r="X633" s="2"/>
    </row>
    <row r="634" ht="15.75" customHeight="1">
      <c r="R634" s="2"/>
      <c r="S634" s="2"/>
      <c r="T634" s="2"/>
      <c r="U634" s="2"/>
      <c r="V634" s="2"/>
      <c r="W634" s="2"/>
      <c r="X634" s="2"/>
    </row>
    <row r="635" ht="15.75" customHeight="1">
      <c r="R635" s="2"/>
      <c r="S635" s="2"/>
      <c r="T635" s="2"/>
      <c r="U635" s="2"/>
      <c r="V635" s="2"/>
      <c r="W635" s="2"/>
      <c r="X635" s="2"/>
    </row>
    <row r="636" ht="15.75" customHeight="1">
      <c r="R636" s="2"/>
      <c r="S636" s="2"/>
      <c r="T636" s="2"/>
      <c r="U636" s="2"/>
      <c r="V636" s="2"/>
      <c r="W636" s="2"/>
      <c r="X636" s="2"/>
    </row>
    <row r="637" ht="15.75" customHeight="1">
      <c r="R637" s="2"/>
      <c r="S637" s="2"/>
      <c r="T637" s="2"/>
      <c r="U637" s="2"/>
      <c r="V637" s="2"/>
      <c r="W637" s="2"/>
      <c r="X637" s="2"/>
    </row>
    <row r="638" ht="15.75" customHeight="1">
      <c r="R638" s="2"/>
      <c r="S638" s="2"/>
      <c r="T638" s="2"/>
      <c r="U638" s="2"/>
      <c r="V638" s="2"/>
      <c r="W638" s="2"/>
      <c r="X638" s="2"/>
    </row>
    <row r="639" ht="15.75" customHeight="1">
      <c r="R639" s="2"/>
      <c r="S639" s="2"/>
      <c r="T639" s="2"/>
      <c r="U639" s="2"/>
      <c r="V639" s="2"/>
      <c r="W639" s="2"/>
      <c r="X639" s="2"/>
    </row>
    <row r="640" ht="15.75" customHeight="1">
      <c r="R640" s="2"/>
      <c r="S640" s="2"/>
      <c r="T640" s="2"/>
      <c r="U640" s="2"/>
      <c r="V640" s="2"/>
      <c r="W640" s="2"/>
      <c r="X640" s="2"/>
    </row>
    <row r="641" ht="15.75" customHeight="1">
      <c r="R641" s="2"/>
      <c r="S641" s="2"/>
      <c r="T641" s="2"/>
      <c r="U641" s="2"/>
      <c r="V641" s="2"/>
      <c r="W641" s="2"/>
      <c r="X641" s="2"/>
    </row>
    <row r="642" ht="15.75" customHeight="1">
      <c r="R642" s="2"/>
      <c r="S642" s="2"/>
      <c r="T642" s="2"/>
      <c r="U642" s="2"/>
      <c r="V642" s="2"/>
      <c r="W642" s="2"/>
      <c r="X642" s="2"/>
    </row>
    <row r="643" ht="15.75" customHeight="1">
      <c r="R643" s="2"/>
      <c r="S643" s="2"/>
      <c r="T643" s="2"/>
      <c r="U643" s="2"/>
      <c r="V643" s="2"/>
      <c r="W643" s="2"/>
      <c r="X643" s="2"/>
    </row>
    <row r="644" ht="15.75" customHeight="1">
      <c r="R644" s="2"/>
      <c r="S644" s="2"/>
      <c r="T644" s="2"/>
      <c r="U644" s="2"/>
      <c r="V644" s="2"/>
      <c r="W644" s="2"/>
      <c r="X644" s="2"/>
    </row>
    <row r="645" ht="15.75" customHeight="1">
      <c r="R645" s="2"/>
      <c r="S645" s="2"/>
      <c r="T645" s="2"/>
      <c r="U645" s="2"/>
      <c r="V645" s="2"/>
      <c r="W645" s="2"/>
      <c r="X645" s="2"/>
    </row>
    <row r="646" ht="15.75" customHeight="1">
      <c r="R646" s="2"/>
      <c r="S646" s="2"/>
      <c r="T646" s="2"/>
      <c r="U646" s="2"/>
      <c r="V646" s="2"/>
      <c r="W646" s="2"/>
      <c r="X646" s="2"/>
    </row>
    <row r="647" ht="15.75" customHeight="1">
      <c r="R647" s="2"/>
      <c r="S647" s="2"/>
      <c r="T647" s="2"/>
      <c r="U647" s="2"/>
      <c r="V647" s="2"/>
      <c r="W647" s="2"/>
      <c r="X647" s="2"/>
    </row>
    <row r="648" ht="15.75" customHeight="1">
      <c r="R648" s="2"/>
      <c r="S648" s="2"/>
      <c r="T648" s="2"/>
      <c r="U648" s="2"/>
      <c r="V648" s="2"/>
      <c r="W648" s="2"/>
      <c r="X648" s="2"/>
    </row>
    <row r="649" ht="15.75" customHeight="1">
      <c r="R649" s="2"/>
      <c r="S649" s="2"/>
      <c r="T649" s="2"/>
      <c r="U649" s="2"/>
      <c r="V649" s="2"/>
      <c r="W649" s="2"/>
      <c r="X649" s="2"/>
    </row>
    <row r="650" ht="15.75" customHeight="1">
      <c r="R650" s="2"/>
      <c r="S650" s="2"/>
      <c r="T650" s="2"/>
      <c r="U650" s="2"/>
      <c r="V650" s="2"/>
      <c r="W650" s="2"/>
      <c r="X650" s="2"/>
    </row>
    <row r="651" ht="15.75" customHeight="1">
      <c r="R651" s="2"/>
      <c r="S651" s="2"/>
      <c r="T651" s="2"/>
      <c r="U651" s="2"/>
      <c r="V651" s="2"/>
      <c r="W651" s="2"/>
      <c r="X651" s="2"/>
    </row>
    <row r="652" ht="15.75" customHeight="1">
      <c r="R652" s="2"/>
      <c r="S652" s="2"/>
      <c r="T652" s="2"/>
      <c r="U652" s="2"/>
      <c r="V652" s="2"/>
      <c r="W652" s="2"/>
      <c r="X652" s="2"/>
    </row>
    <row r="653" ht="15.75" customHeight="1">
      <c r="R653" s="2"/>
      <c r="S653" s="2"/>
      <c r="T653" s="2"/>
      <c r="U653" s="2"/>
      <c r="V653" s="2"/>
      <c r="W653" s="2"/>
      <c r="X653" s="2"/>
    </row>
    <row r="654" ht="15.75" customHeight="1">
      <c r="R654" s="2"/>
      <c r="S654" s="2"/>
      <c r="T654" s="2"/>
      <c r="U654" s="2"/>
      <c r="V654" s="2"/>
      <c r="W654" s="2"/>
      <c r="X654" s="2"/>
    </row>
    <row r="655" ht="15.75" customHeight="1">
      <c r="R655" s="2"/>
      <c r="S655" s="2"/>
      <c r="T655" s="2"/>
      <c r="U655" s="2"/>
      <c r="V655" s="2"/>
      <c r="W655" s="2"/>
      <c r="X655" s="2"/>
    </row>
    <row r="656" ht="15.75" customHeight="1">
      <c r="R656" s="2"/>
      <c r="S656" s="2"/>
      <c r="T656" s="2"/>
      <c r="U656" s="2"/>
      <c r="V656" s="2"/>
      <c r="W656" s="2"/>
      <c r="X656" s="2"/>
    </row>
    <row r="657" ht="15.75" customHeight="1">
      <c r="R657" s="2"/>
      <c r="S657" s="2"/>
      <c r="T657" s="2"/>
      <c r="U657" s="2"/>
      <c r="V657" s="2"/>
      <c r="W657" s="2"/>
      <c r="X657" s="2"/>
    </row>
    <row r="658" ht="15.75" customHeight="1">
      <c r="R658" s="2"/>
      <c r="S658" s="2"/>
      <c r="T658" s="2"/>
      <c r="U658" s="2"/>
      <c r="V658" s="2"/>
      <c r="W658" s="2"/>
      <c r="X658" s="2"/>
    </row>
    <row r="659" ht="15.75" customHeight="1">
      <c r="R659" s="2"/>
      <c r="S659" s="2"/>
      <c r="T659" s="2"/>
      <c r="U659" s="2"/>
      <c r="V659" s="2"/>
      <c r="W659" s="2"/>
      <c r="X659" s="2"/>
    </row>
    <row r="660" ht="15.75" customHeight="1">
      <c r="R660" s="2"/>
      <c r="S660" s="2"/>
      <c r="T660" s="2"/>
      <c r="U660" s="2"/>
      <c r="V660" s="2"/>
      <c r="W660" s="2"/>
      <c r="X660" s="2"/>
    </row>
    <row r="661" ht="15.75" customHeight="1">
      <c r="R661" s="2"/>
      <c r="S661" s="2"/>
      <c r="T661" s="2"/>
      <c r="U661" s="2"/>
      <c r="V661" s="2"/>
      <c r="W661" s="2"/>
      <c r="X661" s="2"/>
    </row>
    <row r="662" ht="15.75" customHeight="1">
      <c r="R662" s="2"/>
      <c r="S662" s="2"/>
      <c r="T662" s="2"/>
      <c r="U662" s="2"/>
      <c r="V662" s="2"/>
      <c r="W662" s="2"/>
      <c r="X662" s="2"/>
    </row>
    <row r="663" ht="15.75" customHeight="1">
      <c r="R663" s="2"/>
      <c r="S663" s="2"/>
      <c r="T663" s="2"/>
      <c r="U663" s="2"/>
      <c r="V663" s="2"/>
      <c r="W663" s="2"/>
      <c r="X663" s="2"/>
    </row>
    <row r="664" ht="15.75" customHeight="1">
      <c r="R664" s="2"/>
      <c r="S664" s="2"/>
      <c r="T664" s="2"/>
      <c r="U664" s="2"/>
      <c r="V664" s="2"/>
      <c r="W664" s="2"/>
      <c r="X664" s="2"/>
    </row>
    <row r="665" ht="15.75" customHeight="1">
      <c r="R665" s="2"/>
      <c r="S665" s="2"/>
      <c r="T665" s="2"/>
      <c r="U665" s="2"/>
      <c r="V665" s="2"/>
      <c r="W665" s="2"/>
      <c r="X665" s="2"/>
    </row>
    <row r="666" ht="15.75" customHeight="1">
      <c r="R666" s="2"/>
      <c r="S666" s="2"/>
      <c r="T666" s="2"/>
      <c r="U666" s="2"/>
      <c r="V666" s="2"/>
      <c r="W666" s="2"/>
      <c r="X666" s="2"/>
    </row>
    <row r="667" ht="15.75" customHeight="1">
      <c r="R667" s="2"/>
      <c r="S667" s="2"/>
      <c r="T667" s="2"/>
      <c r="U667" s="2"/>
      <c r="V667" s="2"/>
      <c r="W667" s="2"/>
      <c r="X667" s="2"/>
    </row>
    <row r="668" ht="15.75" customHeight="1">
      <c r="R668" s="2"/>
      <c r="S668" s="2"/>
      <c r="T668" s="2"/>
      <c r="U668" s="2"/>
      <c r="V668" s="2"/>
      <c r="W668" s="2"/>
      <c r="X668" s="2"/>
    </row>
    <row r="669" ht="15.75" customHeight="1">
      <c r="R669" s="2"/>
      <c r="S669" s="2"/>
      <c r="T669" s="2"/>
      <c r="U669" s="2"/>
      <c r="V669" s="2"/>
      <c r="W669" s="2"/>
      <c r="X669" s="2"/>
    </row>
    <row r="670" ht="15.75" customHeight="1">
      <c r="R670" s="2"/>
      <c r="S670" s="2"/>
      <c r="T670" s="2"/>
      <c r="U670" s="2"/>
      <c r="V670" s="2"/>
      <c r="W670" s="2"/>
      <c r="X670" s="2"/>
    </row>
    <row r="671" ht="15.75" customHeight="1">
      <c r="R671" s="2"/>
      <c r="S671" s="2"/>
      <c r="T671" s="2"/>
      <c r="U671" s="2"/>
      <c r="V671" s="2"/>
      <c r="W671" s="2"/>
      <c r="X671" s="2"/>
    </row>
    <row r="672" ht="15.75" customHeight="1">
      <c r="R672" s="2"/>
      <c r="S672" s="2"/>
      <c r="T672" s="2"/>
      <c r="U672" s="2"/>
      <c r="V672" s="2"/>
      <c r="W672" s="2"/>
      <c r="X672" s="2"/>
    </row>
    <row r="673" ht="15.75" customHeight="1">
      <c r="R673" s="2"/>
      <c r="S673" s="2"/>
      <c r="T673" s="2"/>
      <c r="U673" s="2"/>
      <c r="V673" s="2"/>
      <c r="W673" s="2"/>
      <c r="X673" s="2"/>
    </row>
    <row r="674" ht="15.75" customHeight="1">
      <c r="R674" s="2"/>
      <c r="S674" s="2"/>
      <c r="T674" s="2"/>
      <c r="U674" s="2"/>
      <c r="V674" s="2"/>
      <c r="W674" s="2"/>
      <c r="X674" s="2"/>
    </row>
    <row r="675" ht="15.75" customHeight="1">
      <c r="R675" s="2"/>
      <c r="S675" s="2"/>
      <c r="T675" s="2"/>
      <c r="U675" s="2"/>
      <c r="V675" s="2"/>
      <c r="W675" s="2"/>
      <c r="X675" s="2"/>
    </row>
    <row r="676" ht="15.75" customHeight="1">
      <c r="R676" s="2"/>
      <c r="S676" s="2"/>
      <c r="T676" s="2"/>
      <c r="U676" s="2"/>
      <c r="V676" s="2"/>
      <c r="W676" s="2"/>
      <c r="X676" s="2"/>
    </row>
    <row r="677" ht="15.75" customHeight="1">
      <c r="R677" s="2"/>
      <c r="S677" s="2"/>
      <c r="T677" s="2"/>
      <c r="U677" s="2"/>
      <c r="V677" s="2"/>
      <c r="W677" s="2"/>
      <c r="X677" s="2"/>
    </row>
    <row r="678" ht="15.75" customHeight="1">
      <c r="R678" s="2"/>
      <c r="S678" s="2"/>
      <c r="T678" s="2"/>
      <c r="U678" s="2"/>
      <c r="V678" s="2"/>
      <c r="W678" s="2"/>
      <c r="X678" s="2"/>
    </row>
    <row r="679" ht="15.75" customHeight="1">
      <c r="R679" s="2"/>
      <c r="S679" s="2"/>
      <c r="T679" s="2"/>
      <c r="U679" s="2"/>
      <c r="V679" s="2"/>
      <c r="W679" s="2"/>
      <c r="X679" s="2"/>
    </row>
    <row r="680" ht="15.75" customHeight="1">
      <c r="R680" s="2"/>
      <c r="S680" s="2"/>
      <c r="T680" s="2"/>
      <c r="U680" s="2"/>
      <c r="V680" s="2"/>
      <c r="W680" s="2"/>
      <c r="X680" s="2"/>
    </row>
    <row r="681" ht="15.75" customHeight="1">
      <c r="R681" s="2"/>
      <c r="S681" s="2"/>
      <c r="T681" s="2"/>
      <c r="U681" s="2"/>
      <c r="V681" s="2"/>
      <c r="W681" s="2"/>
      <c r="X681" s="2"/>
    </row>
    <row r="682" ht="15.75" customHeight="1">
      <c r="R682" s="2"/>
      <c r="S682" s="2"/>
      <c r="T682" s="2"/>
      <c r="U682" s="2"/>
      <c r="V682" s="2"/>
      <c r="W682" s="2"/>
      <c r="X682" s="2"/>
    </row>
    <row r="683" ht="15.75" customHeight="1">
      <c r="R683" s="2"/>
      <c r="S683" s="2"/>
      <c r="T683" s="2"/>
      <c r="U683" s="2"/>
      <c r="V683" s="2"/>
      <c r="W683" s="2"/>
      <c r="X683" s="2"/>
    </row>
    <row r="684" ht="15.75" customHeight="1">
      <c r="R684" s="2"/>
      <c r="S684" s="2"/>
      <c r="T684" s="2"/>
      <c r="U684" s="2"/>
      <c r="V684" s="2"/>
      <c r="W684" s="2"/>
      <c r="X684" s="2"/>
    </row>
    <row r="685" ht="15.75" customHeight="1">
      <c r="R685" s="2"/>
      <c r="S685" s="2"/>
      <c r="T685" s="2"/>
      <c r="U685" s="2"/>
      <c r="V685" s="2"/>
      <c r="W685" s="2"/>
      <c r="X685" s="2"/>
    </row>
    <row r="686" ht="15.75" customHeight="1">
      <c r="R686" s="2"/>
      <c r="S686" s="2"/>
      <c r="T686" s="2"/>
      <c r="U686" s="2"/>
      <c r="V686" s="2"/>
      <c r="W686" s="2"/>
      <c r="X686" s="2"/>
    </row>
    <row r="687" ht="15.75" customHeight="1">
      <c r="R687" s="2"/>
      <c r="S687" s="2"/>
      <c r="T687" s="2"/>
      <c r="U687" s="2"/>
      <c r="V687" s="2"/>
      <c r="W687" s="2"/>
      <c r="X687" s="2"/>
    </row>
    <row r="688" ht="15.75" customHeight="1">
      <c r="R688" s="2"/>
      <c r="S688" s="2"/>
      <c r="T688" s="2"/>
      <c r="U688" s="2"/>
      <c r="V688" s="2"/>
      <c r="W688" s="2"/>
      <c r="X688" s="2"/>
    </row>
    <row r="689" ht="15.75" customHeight="1">
      <c r="R689" s="2"/>
      <c r="S689" s="2"/>
      <c r="T689" s="2"/>
      <c r="U689" s="2"/>
      <c r="V689" s="2"/>
      <c r="W689" s="2"/>
      <c r="X689" s="2"/>
    </row>
    <row r="690" ht="15.75" customHeight="1">
      <c r="R690" s="2"/>
      <c r="S690" s="2"/>
      <c r="T690" s="2"/>
      <c r="U690" s="2"/>
      <c r="V690" s="2"/>
      <c r="W690" s="2"/>
      <c r="X690" s="2"/>
    </row>
    <row r="691" ht="15.75" customHeight="1">
      <c r="R691" s="2"/>
      <c r="S691" s="2"/>
      <c r="T691" s="2"/>
      <c r="U691" s="2"/>
      <c r="V691" s="2"/>
      <c r="W691" s="2"/>
      <c r="X691" s="2"/>
    </row>
    <row r="692" ht="15.75" customHeight="1">
      <c r="R692" s="2"/>
      <c r="S692" s="2"/>
      <c r="T692" s="2"/>
      <c r="U692" s="2"/>
      <c r="V692" s="2"/>
      <c r="W692" s="2"/>
      <c r="X692" s="2"/>
    </row>
    <row r="693" ht="15.75" customHeight="1">
      <c r="R693" s="2"/>
      <c r="S693" s="2"/>
      <c r="T693" s="2"/>
      <c r="U693" s="2"/>
      <c r="V693" s="2"/>
      <c r="W693" s="2"/>
      <c r="X693" s="2"/>
    </row>
    <row r="694" ht="15.75" customHeight="1">
      <c r="R694" s="2"/>
      <c r="S694" s="2"/>
      <c r="T694" s="2"/>
      <c r="U694" s="2"/>
      <c r="V694" s="2"/>
      <c r="W694" s="2"/>
      <c r="X694" s="2"/>
    </row>
    <row r="695" ht="15.75" customHeight="1">
      <c r="R695" s="2"/>
      <c r="S695" s="2"/>
      <c r="T695" s="2"/>
      <c r="U695" s="2"/>
      <c r="V695" s="2"/>
      <c r="W695" s="2"/>
      <c r="X695" s="2"/>
    </row>
    <row r="696" ht="15.75" customHeight="1">
      <c r="R696" s="2"/>
      <c r="S696" s="2"/>
      <c r="T696" s="2"/>
      <c r="U696" s="2"/>
      <c r="V696" s="2"/>
      <c r="W696" s="2"/>
      <c r="X696" s="2"/>
    </row>
    <row r="697" ht="15.75" customHeight="1">
      <c r="R697" s="2"/>
      <c r="S697" s="2"/>
      <c r="T697" s="2"/>
      <c r="U697" s="2"/>
      <c r="V697" s="2"/>
      <c r="W697" s="2"/>
      <c r="X697" s="2"/>
    </row>
    <row r="698" ht="15.75" customHeight="1">
      <c r="R698" s="2"/>
      <c r="S698" s="2"/>
      <c r="T698" s="2"/>
      <c r="U698" s="2"/>
      <c r="V698" s="2"/>
      <c r="W698" s="2"/>
      <c r="X698" s="2"/>
    </row>
    <row r="699" ht="15.75" customHeight="1">
      <c r="R699" s="2"/>
      <c r="S699" s="2"/>
      <c r="T699" s="2"/>
      <c r="U699" s="2"/>
      <c r="V699" s="2"/>
      <c r="W699" s="2"/>
      <c r="X699" s="2"/>
    </row>
    <row r="700" ht="15.75" customHeight="1">
      <c r="R700" s="2"/>
      <c r="S700" s="2"/>
      <c r="T700" s="2"/>
      <c r="U700" s="2"/>
      <c r="V700" s="2"/>
      <c r="W700" s="2"/>
      <c r="X700" s="2"/>
    </row>
    <row r="701" ht="15.75" customHeight="1">
      <c r="R701" s="2"/>
      <c r="S701" s="2"/>
      <c r="T701" s="2"/>
      <c r="U701" s="2"/>
      <c r="V701" s="2"/>
      <c r="W701" s="2"/>
      <c r="X701" s="2"/>
    </row>
    <row r="702" ht="15.75" customHeight="1">
      <c r="R702" s="2"/>
      <c r="S702" s="2"/>
      <c r="T702" s="2"/>
      <c r="U702" s="2"/>
      <c r="V702" s="2"/>
      <c r="W702" s="2"/>
      <c r="X702" s="2"/>
    </row>
    <row r="703" ht="15.75" customHeight="1">
      <c r="R703" s="2"/>
      <c r="S703" s="2"/>
      <c r="T703" s="2"/>
      <c r="U703" s="2"/>
      <c r="V703" s="2"/>
      <c r="W703" s="2"/>
      <c r="X703" s="2"/>
    </row>
    <row r="704" ht="15.75" customHeight="1">
      <c r="R704" s="2"/>
      <c r="S704" s="2"/>
      <c r="T704" s="2"/>
      <c r="U704" s="2"/>
      <c r="V704" s="2"/>
      <c r="W704" s="2"/>
      <c r="X704" s="2"/>
    </row>
    <row r="705" ht="15.75" customHeight="1">
      <c r="R705" s="2"/>
      <c r="S705" s="2"/>
      <c r="T705" s="2"/>
      <c r="U705" s="2"/>
      <c r="V705" s="2"/>
      <c r="W705" s="2"/>
      <c r="X705" s="2"/>
    </row>
    <row r="706" ht="15.75" customHeight="1">
      <c r="R706" s="2"/>
      <c r="S706" s="2"/>
      <c r="T706" s="2"/>
      <c r="U706" s="2"/>
      <c r="V706" s="2"/>
      <c r="W706" s="2"/>
      <c r="X706" s="2"/>
    </row>
    <row r="707" ht="15.75" customHeight="1">
      <c r="R707" s="2"/>
      <c r="S707" s="2"/>
      <c r="T707" s="2"/>
      <c r="U707" s="2"/>
      <c r="V707" s="2"/>
      <c r="W707" s="2"/>
      <c r="X707" s="2"/>
    </row>
    <row r="708" ht="15.75" customHeight="1">
      <c r="R708" s="2"/>
      <c r="S708" s="2"/>
      <c r="T708" s="2"/>
      <c r="U708" s="2"/>
      <c r="V708" s="2"/>
      <c r="W708" s="2"/>
      <c r="X708" s="2"/>
    </row>
    <row r="709" ht="15.75" customHeight="1">
      <c r="R709" s="2"/>
      <c r="S709" s="2"/>
      <c r="T709" s="2"/>
      <c r="U709" s="2"/>
      <c r="V709" s="2"/>
      <c r="W709" s="2"/>
      <c r="X709" s="2"/>
    </row>
    <row r="710" ht="15.75" customHeight="1">
      <c r="R710" s="2"/>
      <c r="S710" s="2"/>
      <c r="T710" s="2"/>
      <c r="U710" s="2"/>
      <c r="V710" s="2"/>
      <c r="W710" s="2"/>
      <c r="X710" s="2"/>
    </row>
    <row r="711" ht="15.75" customHeight="1">
      <c r="R711" s="2"/>
      <c r="S711" s="2"/>
      <c r="T711" s="2"/>
      <c r="U711" s="2"/>
      <c r="V711" s="2"/>
      <c r="W711" s="2"/>
      <c r="X711" s="2"/>
    </row>
    <row r="712" ht="15.75" customHeight="1">
      <c r="R712" s="2"/>
      <c r="S712" s="2"/>
      <c r="T712" s="2"/>
      <c r="U712" s="2"/>
      <c r="V712" s="2"/>
      <c r="W712" s="2"/>
      <c r="X712" s="2"/>
    </row>
    <row r="713" ht="15.75" customHeight="1">
      <c r="R713" s="2"/>
      <c r="S713" s="2"/>
      <c r="T713" s="2"/>
      <c r="U713" s="2"/>
      <c r="V713" s="2"/>
      <c r="W713" s="2"/>
      <c r="X713" s="2"/>
    </row>
    <row r="714" ht="15.75" customHeight="1">
      <c r="R714" s="2"/>
      <c r="S714" s="2"/>
      <c r="T714" s="2"/>
      <c r="U714" s="2"/>
      <c r="V714" s="2"/>
      <c r="W714" s="2"/>
      <c r="X714" s="2"/>
    </row>
    <row r="715" ht="15.75" customHeight="1">
      <c r="R715" s="2"/>
      <c r="S715" s="2"/>
      <c r="T715" s="2"/>
      <c r="U715" s="2"/>
      <c r="V715" s="2"/>
      <c r="W715" s="2"/>
      <c r="X715" s="2"/>
    </row>
    <row r="716" ht="15.75" customHeight="1">
      <c r="R716" s="2"/>
      <c r="S716" s="2"/>
      <c r="T716" s="2"/>
      <c r="U716" s="2"/>
      <c r="V716" s="2"/>
      <c r="W716" s="2"/>
      <c r="X716" s="2"/>
    </row>
    <row r="717" ht="15.75" customHeight="1">
      <c r="R717" s="2"/>
      <c r="S717" s="2"/>
      <c r="T717" s="2"/>
      <c r="U717" s="2"/>
      <c r="V717" s="2"/>
      <c r="W717" s="2"/>
      <c r="X717" s="2"/>
    </row>
    <row r="718" ht="15.75" customHeight="1">
      <c r="R718" s="2"/>
      <c r="S718" s="2"/>
      <c r="T718" s="2"/>
      <c r="U718" s="2"/>
      <c r="V718" s="2"/>
      <c r="W718" s="2"/>
      <c r="X718" s="2"/>
    </row>
    <row r="719" ht="15.75" customHeight="1">
      <c r="R719" s="2"/>
      <c r="S719" s="2"/>
      <c r="T719" s="2"/>
      <c r="U719" s="2"/>
      <c r="V719" s="2"/>
      <c r="W719" s="2"/>
      <c r="X719" s="2"/>
    </row>
    <row r="720" ht="15.75" customHeight="1">
      <c r="R720" s="2"/>
      <c r="S720" s="2"/>
      <c r="T720" s="2"/>
      <c r="U720" s="2"/>
      <c r="V720" s="2"/>
      <c r="W720" s="2"/>
      <c r="X720" s="2"/>
    </row>
    <row r="721" ht="15.75" customHeight="1">
      <c r="R721" s="2"/>
      <c r="S721" s="2"/>
      <c r="T721" s="2"/>
      <c r="U721" s="2"/>
      <c r="V721" s="2"/>
      <c r="W721" s="2"/>
      <c r="X721" s="2"/>
    </row>
    <row r="722" ht="15.75" customHeight="1">
      <c r="R722" s="2"/>
      <c r="S722" s="2"/>
      <c r="T722" s="2"/>
      <c r="U722" s="2"/>
      <c r="V722" s="2"/>
      <c r="W722" s="2"/>
      <c r="X722" s="2"/>
    </row>
    <row r="723" ht="15.75" customHeight="1">
      <c r="R723" s="2"/>
      <c r="S723" s="2"/>
      <c r="T723" s="2"/>
      <c r="U723" s="2"/>
      <c r="V723" s="2"/>
      <c r="W723" s="2"/>
      <c r="X723" s="2"/>
    </row>
    <row r="724" ht="15.75" customHeight="1">
      <c r="R724" s="2"/>
      <c r="S724" s="2"/>
      <c r="T724" s="2"/>
      <c r="U724" s="2"/>
      <c r="V724" s="2"/>
      <c r="W724" s="2"/>
      <c r="X724" s="2"/>
    </row>
    <row r="725" ht="15.75" customHeight="1">
      <c r="R725" s="2"/>
      <c r="S725" s="2"/>
      <c r="T725" s="2"/>
      <c r="U725" s="2"/>
      <c r="V725" s="2"/>
      <c r="W725" s="2"/>
      <c r="X725" s="2"/>
    </row>
    <row r="726" ht="15.75" customHeight="1">
      <c r="R726" s="2"/>
      <c r="S726" s="2"/>
      <c r="T726" s="2"/>
      <c r="U726" s="2"/>
      <c r="V726" s="2"/>
      <c r="W726" s="2"/>
      <c r="X726" s="2"/>
    </row>
    <row r="727" ht="15.75" customHeight="1">
      <c r="R727" s="2"/>
      <c r="S727" s="2"/>
      <c r="T727" s="2"/>
      <c r="U727" s="2"/>
      <c r="V727" s="2"/>
      <c r="W727" s="2"/>
      <c r="X727" s="2"/>
    </row>
    <row r="728" ht="15.75" customHeight="1">
      <c r="R728" s="2"/>
      <c r="S728" s="2"/>
      <c r="T728" s="2"/>
      <c r="U728" s="2"/>
      <c r="V728" s="2"/>
      <c r="W728" s="2"/>
      <c r="X728" s="2"/>
    </row>
    <row r="729" ht="15.75" customHeight="1">
      <c r="R729" s="2"/>
      <c r="S729" s="2"/>
      <c r="T729" s="2"/>
      <c r="U729" s="2"/>
      <c r="V729" s="2"/>
      <c r="W729" s="2"/>
      <c r="X729" s="2"/>
    </row>
    <row r="730" ht="15.75" customHeight="1">
      <c r="R730" s="2"/>
      <c r="S730" s="2"/>
      <c r="T730" s="2"/>
      <c r="U730" s="2"/>
      <c r="V730" s="2"/>
      <c r="W730" s="2"/>
      <c r="X730" s="2"/>
    </row>
    <row r="731" ht="15.75" customHeight="1">
      <c r="R731" s="2"/>
      <c r="S731" s="2"/>
      <c r="T731" s="2"/>
      <c r="U731" s="2"/>
      <c r="V731" s="2"/>
      <c r="W731" s="2"/>
      <c r="X731" s="2"/>
    </row>
    <row r="732" ht="15.75" customHeight="1">
      <c r="R732" s="2"/>
      <c r="S732" s="2"/>
      <c r="T732" s="2"/>
      <c r="U732" s="2"/>
      <c r="V732" s="2"/>
      <c r="W732" s="2"/>
      <c r="X732" s="2"/>
    </row>
    <row r="733" ht="15.75" customHeight="1">
      <c r="R733" s="2"/>
      <c r="S733" s="2"/>
      <c r="T733" s="2"/>
      <c r="U733" s="2"/>
      <c r="V733" s="2"/>
      <c r="W733" s="2"/>
      <c r="X733" s="2"/>
    </row>
    <row r="734" ht="15.75" customHeight="1">
      <c r="R734" s="2"/>
      <c r="S734" s="2"/>
      <c r="T734" s="2"/>
      <c r="U734" s="2"/>
      <c r="V734" s="2"/>
      <c r="W734" s="2"/>
      <c r="X734" s="2"/>
    </row>
    <row r="735" ht="15.75" customHeight="1">
      <c r="R735" s="2"/>
      <c r="S735" s="2"/>
      <c r="T735" s="2"/>
      <c r="U735" s="2"/>
      <c r="V735" s="2"/>
      <c r="W735" s="2"/>
      <c r="X735" s="2"/>
    </row>
    <row r="736" ht="15.75" customHeight="1">
      <c r="R736" s="2"/>
      <c r="S736" s="2"/>
      <c r="T736" s="2"/>
      <c r="U736" s="2"/>
      <c r="V736" s="2"/>
      <c r="W736" s="2"/>
      <c r="X736" s="2"/>
    </row>
    <row r="737" ht="15.75" customHeight="1">
      <c r="R737" s="2"/>
      <c r="S737" s="2"/>
      <c r="T737" s="2"/>
      <c r="U737" s="2"/>
      <c r="V737" s="2"/>
      <c r="W737" s="2"/>
      <c r="X737" s="2"/>
    </row>
    <row r="738" ht="15.75" customHeight="1">
      <c r="R738" s="2"/>
      <c r="S738" s="2"/>
      <c r="T738" s="2"/>
      <c r="U738" s="2"/>
      <c r="V738" s="2"/>
      <c r="W738" s="2"/>
      <c r="X738" s="2"/>
    </row>
    <row r="739" ht="15.75" customHeight="1">
      <c r="R739" s="2"/>
      <c r="S739" s="2"/>
      <c r="T739" s="2"/>
      <c r="U739" s="2"/>
      <c r="V739" s="2"/>
      <c r="W739" s="2"/>
      <c r="X739" s="2"/>
    </row>
    <row r="740" ht="15.75" customHeight="1">
      <c r="R740" s="2"/>
      <c r="S740" s="2"/>
      <c r="T740" s="2"/>
      <c r="U740" s="2"/>
      <c r="V740" s="2"/>
      <c r="W740" s="2"/>
      <c r="X740" s="2"/>
    </row>
    <row r="741" ht="15.75" customHeight="1">
      <c r="R741" s="2"/>
      <c r="S741" s="2"/>
      <c r="T741" s="2"/>
      <c r="U741" s="2"/>
      <c r="V741" s="2"/>
      <c r="W741" s="2"/>
      <c r="X741" s="2"/>
    </row>
    <row r="742" ht="15.75" customHeight="1">
      <c r="R742" s="2"/>
      <c r="S742" s="2"/>
      <c r="T742" s="2"/>
      <c r="U742" s="2"/>
      <c r="V742" s="2"/>
      <c r="W742" s="2"/>
      <c r="X742" s="2"/>
    </row>
    <row r="743" ht="15.75" customHeight="1">
      <c r="R743" s="2"/>
      <c r="S743" s="2"/>
      <c r="T743" s="2"/>
      <c r="U743" s="2"/>
      <c r="V743" s="2"/>
      <c r="W743" s="2"/>
      <c r="X743" s="2"/>
    </row>
    <row r="744" ht="15.75" customHeight="1">
      <c r="R744" s="2"/>
      <c r="S744" s="2"/>
      <c r="T744" s="2"/>
      <c r="U744" s="2"/>
      <c r="V744" s="2"/>
      <c r="W744" s="2"/>
      <c r="X744" s="2"/>
    </row>
    <row r="745" ht="15.75" customHeight="1">
      <c r="R745" s="2"/>
      <c r="S745" s="2"/>
      <c r="T745" s="2"/>
      <c r="U745" s="2"/>
      <c r="V745" s="2"/>
      <c r="W745" s="2"/>
      <c r="X745" s="2"/>
    </row>
    <row r="746" ht="15.75" customHeight="1">
      <c r="R746" s="2"/>
      <c r="S746" s="2"/>
      <c r="T746" s="2"/>
      <c r="U746" s="2"/>
      <c r="V746" s="2"/>
      <c r="W746" s="2"/>
      <c r="X746" s="2"/>
    </row>
    <row r="747" ht="15.75" customHeight="1">
      <c r="R747" s="2"/>
      <c r="S747" s="2"/>
      <c r="T747" s="2"/>
      <c r="U747" s="2"/>
      <c r="V747" s="2"/>
      <c r="W747" s="2"/>
      <c r="X747" s="2"/>
    </row>
    <row r="748" ht="15.75" customHeight="1">
      <c r="R748" s="2"/>
      <c r="S748" s="2"/>
      <c r="T748" s="2"/>
      <c r="U748" s="2"/>
      <c r="V748" s="2"/>
      <c r="W748" s="2"/>
      <c r="X748" s="2"/>
    </row>
    <row r="749" ht="15.75" customHeight="1">
      <c r="R749" s="2"/>
      <c r="S749" s="2"/>
      <c r="T749" s="2"/>
      <c r="U749" s="2"/>
      <c r="V749" s="2"/>
      <c r="W749" s="2"/>
      <c r="X749" s="2"/>
    </row>
    <row r="750" ht="15.75" customHeight="1">
      <c r="R750" s="2"/>
      <c r="S750" s="2"/>
      <c r="T750" s="2"/>
      <c r="U750" s="2"/>
      <c r="V750" s="2"/>
      <c r="W750" s="2"/>
      <c r="X750" s="2"/>
    </row>
    <row r="751" ht="15.75" customHeight="1">
      <c r="R751" s="2"/>
      <c r="S751" s="2"/>
      <c r="T751" s="2"/>
      <c r="U751" s="2"/>
      <c r="V751" s="2"/>
      <c r="W751" s="2"/>
      <c r="X751" s="2"/>
    </row>
    <row r="752" ht="15.75" customHeight="1">
      <c r="R752" s="2"/>
      <c r="S752" s="2"/>
      <c r="T752" s="2"/>
      <c r="U752" s="2"/>
      <c r="V752" s="2"/>
      <c r="W752" s="2"/>
      <c r="X752" s="2"/>
    </row>
    <row r="753" ht="15.75" customHeight="1">
      <c r="R753" s="2"/>
      <c r="S753" s="2"/>
      <c r="T753" s="2"/>
      <c r="U753" s="2"/>
      <c r="V753" s="2"/>
      <c r="W753" s="2"/>
      <c r="X753" s="2"/>
    </row>
    <row r="754" ht="15.75" customHeight="1">
      <c r="R754" s="2"/>
      <c r="S754" s="2"/>
      <c r="T754" s="2"/>
      <c r="U754" s="2"/>
      <c r="V754" s="2"/>
      <c r="W754" s="2"/>
      <c r="X754" s="2"/>
    </row>
    <row r="755" ht="15.75" customHeight="1">
      <c r="R755" s="2"/>
      <c r="S755" s="2"/>
      <c r="T755" s="2"/>
      <c r="U755" s="2"/>
      <c r="V755" s="2"/>
      <c r="W755" s="2"/>
      <c r="X755" s="2"/>
    </row>
    <row r="756" ht="15.75" customHeight="1">
      <c r="R756" s="2"/>
      <c r="S756" s="2"/>
      <c r="T756" s="2"/>
      <c r="U756" s="2"/>
      <c r="V756" s="2"/>
      <c r="W756" s="2"/>
      <c r="X756" s="2"/>
    </row>
    <row r="757" ht="15.75" customHeight="1">
      <c r="R757" s="2"/>
      <c r="S757" s="2"/>
      <c r="T757" s="2"/>
      <c r="U757" s="2"/>
      <c r="V757" s="2"/>
      <c r="W757" s="2"/>
      <c r="X757" s="2"/>
    </row>
    <row r="758" ht="15.75" customHeight="1">
      <c r="R758" s="2"/>
      <c r="S758" s="2"/>
      <c r="T758" s="2"/>
      <c r="U758" s="2"/>
      <c r="V758" s="2"/>
      <c r="W758" s="2"/>
      <c r="X758" s="2"/>
    </row>
    <row r="759" ht="15.75" customHeight="1">
      <c r="R759" s="2"/>
      <c r="S759" s="2"/>
      <c r="T759" s="2"/>
      <c r="U759" s="2"/>
      <c r="V759" s="2"/>
      <c r="W759" s="2"/>
      <c r="X759" s="2"/>
    </row>
    <row r="760" ht="15.75" customHeight="1">
      <c r="R760" s="2"/>
      <c r="S760" s="2"/>
      <c r="T760" s="2"/>
      <c r="U760" s="2"/>
      <c r="V760" s="2"/>
      <c r="W760" s="2"/>
      <c r="X760" s="2"/>
    </row>
    <row r="761" ht="15.75" customHeight="1">
      <c r="R761" s="2"/>
      <c r="S761" s="2"/>
      <c r="T761" s="2"/>
      <c r="U761" s="2"/>
      <c r="V761" s="2"/>
      <c r="W761" s="2"/>
      <c r="X761" s="2"/>
    </row>
    <row r="762" ht="15.75" customHeight="1">
      <c r="R762" s="2"/>
      <c r="S762" s="2"/>
      <c r="T762" s="2"/>
      <c r="U762" s="2"/>
      <c r="V762" s="2"/>
      <c r="W762" s="2"/>
      <c r="X762" s="2"/>
    </row>
    <row r="763" ht="15.75" customHeight="1">
      <c r="R763" s="2"/>
      <c r="S763" s="2"/>
      <c r="T763" s="2"/>
      <c r="U763" s="2"/>
      <c r="V763" s="2"/>
      <c r="W763" s="2"/>
      <c r="X763" s="2"/>
    </row>
    <row r="764" ht="15.75" customHeight="1">
      <c r="R764" s="2"/>
      <c r="S764" s="2"/>
      <c r="T764" s="2"/>
      <c r="U764" s="2"/>
      <c r="V764" s="2"/>
      <c r="W764" s="2"/>
      <c r="X764" s="2"/>
    </row>
    <row r="765" ht="15.75" customHeight="1">
      <c r="R765" s="2"/>
      <c r="S765" s="2"/>
      <c r="T765" s="2"/>
      <c r="U765" s="2"/>
      <c r="V765" s="2"/>
      <c r="W765" s="2"/>
      <c r="X765" s="2"/>
    </row>
    <row r="766" ht="15.75" customHeight="1">
      <c r="R766" s="2"/>
      <c r="S766" s="2"/>
      <c r="T766" s="2"/>
      <c r="U766" s="2"/>
      <c r="V766" s="2"/>
      <c r="W766" s="2"/>
      <c r="X766" s="2"/>
    </row>
    <row r="767" ht="15.75" customHeight="1">
      <c r="R767" s="2"/>
      <c r="S767" s="2"/>
      <c r="T767" s="2"/>
      <c r="U767" s="2"/>
      <c r="V767" s="2"/>
      <c r="W767" s="2"/>
      <c r="X767" s="2"/>
    </row>
    <row r="768" ht="15.75" customHeight="1">
      <c r="R768" s="2"/>
      <c r="S768" s="2"/>
      <c r="T768" s="2"/>
      <c r="U768" s="2"/>
      <c r="V768" s="2"/>
      <c r="W768" s="2"/>
      <c r="X768" s="2"/>
    </row>
    <row r="769" ht="15.75" customHeight="1">
      <c r="R769" s="2"/>
      <c r="S769" s="2"/>
      <c r="T769" s="2"/>
      <c r="U769" s="2"/>
      <c r="V769" s="2"/>
      <c r="W769" s="2"/>
      <c r="X769" s="2"/>
    </row>
    <row r="770" ht="15.75" customHeight="1">
      <c r="R770" s="2"/>
      <c r="S770" s="2"/>
      <c r="T770" s="2"/>
      <c r="U770" s="2"/>
      <c r="V770" s="2"/>
      <c r="W770" s="2"/>
      <c r="X770" s="2"/>
    </row>
    <row r="771" ht="15.75" customHeight="1">
      <c r="R771" s="2"/>
      <c r="S771" s="2"/>
      <c r="T771" s="2"/>
      <c r="U771" s="2"/>
      <c r="V771" s="2"/>
      <c r="W771" s="2"/>
      <c r="X771" s="2"/>
    </row>
    <row r="772" ht="15.75" customHeight="1">
      <c r="R772" s="2"/>
      <c r="S772" s="2"/>
      <c r="T772" s="2"/>
      <c r="U772" s="2"/>
      <c r="V772" s="2"/>
      <c r="W772" s="2"/>
      <c r="X772" s="2"/>
    </row>
    <row r="773" ht="15.75" customHeight="1">
      <c r="R773" s="2"/>
      <c r="S773" s="2"/>
      <c r="T773" s="2"/>
      <c r="U773" s="2"/>
      <c r="V773" s="2"/>
      <c r="W773" s="2"/>
      <c r="X773" s="2"/>
    </row>
    <row r="774" ht="15.75" customHeight="1">
      <c r="R774" s="2"/>
      <c r="S774" s="2"/>
      <c r="T774" s="2"/>
      <c r="U774" s="2"/>
      <c r="V774" s="2"/>
      <c r="W774" s="2"/>
      <c r="X774" s="2"/>
    </row>
    <row r="775" ht="15.75" customHeight="1">
      <c r="R775" s="2"/>
      <c r="S775" s="2"/>
      <c r="T775" s="2"/>
      <c r="U775" s="2"/>
      <c r="V775" s="2"/>
      <c r="W775" s="2"/>
      <c r="X775" s="2"/>
    </row>
    <row r="776" ht="15.75" customHeight="1">
      <c r="R776" s="2"/>
      <c r="S776" s="2"/>
      <c r="T776" s="2"/>
      <c r="U776" s="2"/>
      <c r="V776" s="2"/>
      <c r="W776" s="2"/>
      <c r="X776" s="2"/>
    </row>
    <row r="777" ht="15.75" customHeight="1">
      <c r="R777" s="2"/>
      <c r="S777" s="2"/>
      <c r="T777" s="2"/>
      <c r="U777" s="2"/>
      <c r="V777" s="2"/>
      <c r="W777" s="2"/>
      <c r="X777" s="2"/>
    </row>
    <row r="778" ht="15.75" customHeight="1">
      <c r="R778" s="2"/>
      <c r="S778" s="2"/>
      <c r="T778" s="2"/>
      <c r="U778" s="2"/>
      <c r="V778" s="2"/>
      <c r="W778" s="2"/>
      <c r="X778" s="2"/>
    </row>
    <row r="779" ht="15.75" customHeight="1">
      <c r="R779" s="2"/>
      <c r="S779" s="2"/>
      <c r="T779" s="2"/>
      <c r="U779" s="2"/>
      <c r="V779" s="2"/>
      <c r="W779" s="2"/>
      <c r="X779" s="2"/>
    </row>
    <row r="780" ht="15.75" customHeight="1">
      <c r="R780" s="2"/>
      <c r="S780" s="2"/>
      <c r="T780" s="2"/>
      <c r="U780" s="2"/>
      <c r="V780" s="2"/>
      <c r="W780" s="2"/>
      <c r="X780" s="2"/>
    </row>
    <row r="781" ht="15.75" customHeight="1">
      <c r="R781" s="2"/>
      <c r="S781" s="2"/>
      <c r="T781" s="2"/>
      <c r="U781" s="2"/>
      <c r="V781" s="2"/>
      <c r="W781" s="2"/>
      <c r="X781" s="2"/>
    </row>
    <row r="782" ht="15.75" customHeight="1">
      <c r="R782" s="2"/>
      <c r="S782" s="2"/>
      <c r="T782" s="2"/>
      <c r="U782" s="2"/>
      <c r="V782" s="2"/>
      <c r="W782" s="2"/>
      <c r="X782" s="2"/>
    </row>
    <row r="783" ht="15.75" customHeight="1">
      <c r="R783" s="2"/>
      <c r="S783" s="2"/>
      <c r="T783" s="2"/>
      <c r="U783" s="2"/>
      <c r="V783" s="2"/>
      <c r="W783" s="2"/>
      <c r="X783" s="2"/>
    </row>
    <row r="784" ht="15.75" customHeight="1">
      <c r="R784" s="2"/>
      <c r="S784" s="2"/>
      <c r="T784" s="2"/>
      <c r="U784" s="2"/>
      <c r="V784" s="2"/>
      <c r="W784" s="2"/>
      <c r="X784" s="2"/>
    </row>
    <row r="785" ht="15.75" customHeight="1">
      <c r="R785" s="2"/>
      <c r="S785" s="2"/>
      <c r="T785" s="2"/>
      <c r="U785" s="2"/>
      <c r="V785" s="2"/>
      <c r="W785" s="2"/>
      <c r="X785" s="2"/>
    </row>
    <row r="786" ht="15.75" customHeight="1">
      <c r="R786" s="2"/>
      <c r="S786" s="2"/>
      <c r="T786" s="2"/>
      <c r="U786" s="2"/>
      <c r="V786" s="2"/>
      <c r="W786" s="2"/>
      <c r="X786" s="2"/>
    </row>
    <row r="787" ht="15.75" customHeight="1">
      <c r="R787" s="2"/>
      <c r="S787" s="2"/>
      <c r="T787" s="2"/>
      <c r="U787" s="2"/>
      <c r="V787" s="2"/>
      <c r="W787" s="2"/>
      <c r="X787" s="2"/>
    </row>
    <row r="788" ht="15.75" customHeight="1">
      <c r="R788" s="2"/>
      <c r="S788" s="2"/>
      <c r="T788" s="2"/>
      <c r="U788" s="2"/>
      <c r="V788" s="2"/>
      <c r="W788" s="2"/>
      <c r="X788" s="2"/>
    </row>
    <row r="789" ht="15.75" customHeight="1">
      <c r="R789" s="2"/>
      <c r="S789" s="2"/>
      <c r="T789" s="2"/>
      <c r="U789" s="2"/>
      <c r="V789" s="2"/>
      <c r="W789" s="2"/>
      <c r="X789" s="2"/>
    </row>
    <row r="790" ht="15.75" customHeight="1">
      <c r="R790" s="2"/>
      <c r="S790" s="2"/>
      <c r="T790" s="2"/>
      <c r="U790" s="2"/>
      <c r="V790" s="2"/>
      <c r="W790" s="2"/>
      <c r="X790" s="2"/>
    </row>
    <row r="791" ht="15.75" customHeight="1">
      <c r="R791" s="2"/>
      <c r="S791" s="2"/>
      <c r="T791" s="2"/>
      <c r="U791" s="2"/>
      <c r="V791" s="2"/>
      <c r="W791" s="2"/>
      <c r="X791" s="2"/>
    </row>
    <row r="792" ht="15.75" customHeight="1">
      <c r="R792" s="2"/>
      <c r="S792" s="2"/>
      <c r="T792" s="2"/>
      <c r="U792" s="2"/>
      <c r="V792" s="2"/>
      <c r="W792" s="2"/>
      <c r="X792" s="2"/>
    </row>
    <row r="793" ht="15.75" customHeight="1">
      <c r="R793" s="2"/>
      <c r="S793" s="2"/>
      <c r="T793" s="2"/>
      <c r="U793" s="2"/>
      <c r="V793" s="2"/>
      <c r="W793" s="2"/>
      <c r="X793" s="2"/>
    </row>
    <row r="794" ht="15.75" customHeight="1">
      <c r="R794" s="2"/>
      <c r="S794" s="2"/>
      <c r="T794" s="2"/>
      <c r="U794" s="2"/>
      <c r="V794" s="2"/>
      <c r="W794" s="2"/>
      <c r="X794" s="2"/>
    </row>
    <row r="795" ht="15.75" customHeight="1">
      <c r="R795" s="2"/>
      <c r="S795" s="2"/>
      <c r="T795" s="2"/>
      <c r="U795" s="2"/>
      <c r="V795" s="2"/>
      <c r="W795" s="2"/>
      <c r="X795" s="2"/>
    </row>
    <row r="796" ht="15.75" customHeight="1">
      <c r="R796" s="2"/>
      <c r="S796" s="2"/>
      <c r="T796" s="2"/>
      <c r="U796" s="2"/>
      <c r="V796" s="2"/>
      <c r="W796" s="2"/>
      <c r="X796" s="2"/>
    </row>
    <row r="797" ht="15.75" customHeight="1">
      <c r="R797" s="2"/>
      <c r="S797" s="2"/>
      <c r="T797" s="2"/>
      <c r="U797" s="2"/>
      <c r="V797" s="2"/>
      <c r="W797" s="2"/>
      <c r="X797" s="2"/>
    </row>
    <row r="798" ht="15.75" customHeight="1">
      <c r="R798" s="2"/>
      <c r="S798" s="2"/>
      <c r="T798" s="2"/>
      <c r="U798" s="2"/>
      <c r="V798" s="2"/>
      <c r="W798" s="2"/>
      <c r="X798" s="2"/>
    </row>
    <row r="799" ht="15.75" customHeight="1">
      <c r="R799" s="2"/>
      <c r="S799" s="2"/>
      <c r="T799" s="2"/>
      <c r="U799" s="2"/>
      <c r="V799" s="2"/>
      <c r="W799" s="2"/>
      <c r="X799" s="2"/>
    </row>
    <row r="800" ht="15.75" customHeight="1">
      <c r="R800" s="2"/>
      <c r="S800" s="2"/>
      <c r="T800" s="2"/>
      <c r="U800" s="2"/>
      <c r="V800" s="2"/>
      <c r="W800" s="2"/>
      <c r="X800" s="2"/>
    </row>
    <row r="801" ht="15.75" customHeight="1">
      <c r="R801" s="2"/>
      <c r="S801" s="2"/>
      <c r="T801" s="2"/>
      <c r="U801" s="2"/>
      <c r="V801" s="2"/>
      <c r="W801" s="2"/>
      <c r="X801" s="2"/>
    </row>
    <row r="802" ht="15.75" customHeight="1">
      <c r="R802" s="2"/>
      <c r="S802" s="2"/>
      <c r="T802" s="2"/>
      <c r="U802" s="2"/>
      <c r="V802" s="2"/>
      <c r="W802" s="2"/>
      <c r="X802" s="2"/>
    </row>
    <row r="803" ht="15.75" customHeight="1">
      <c r="R803" s="2"/>
      <c r="S803" s="2"/>
      <c r="T803" s="2"/>
      <c r="U803" s="2"/>
      <c r="V803" s="2"/>
      <c r="W803" s="2"/>
      <c r="X803" s="2"/>
    </row>
    <row r="804" ht="15.75" customHeight="1">
      <c r="R804" s="2"/>
      <c r="S804" s="2"/>
      <c r="T804" s="2"/>
      <c r="U804" s="2"/>
      <c r="V804" s="2"/>
      <c r="W804" s="2"/>
      <c r="X804" s="2"/>
    </row>
    <row r="805" ht="15.75" customHeight="1">
      <c r="R805" s="2"/>
      <c r="S805" s="2"/>
      <c r="T805" s="2"/>
      <c r="U805" s="2"/>
      <c r="V805" s="2"/>
      <c r="W805" s="2"/>
      <c r="X805" s="2"/>
    </row>
    <row r="806" ht="15.75" customHeight="1">
      <c r="R806" s="2"/>
      <c r="S806" s="2"/>
      <c r="T806" s="2"/>
      <c r="U806" s="2"/>
      <c r="V806" s="2"/>
      <c r="W806" s="2"/>
      <c r="X806" s="2"/>
    </row>
    <row r="807" ht="15.75" customHeight="1">
      <c r="R807" s="2"/>
      <c r="S807" s="2"/>
      <c r="T807" s="2"/>
      <c r="U807" s="2"/>
      <c r="V807" s="2"/>
      <c r="W807" s="2"/>
      <c r="X807" s="2"/>
    </row>
    <row r="808" ht="15.75" customHeight="1">
      <c r="R808" s="2"/>
      <c r="S808" s="2"/>
      <c r="T808" s="2"/>
      <c r="U808" s="2"/>
      <c r="V808" s="2"/>
      <c r="W808" s="2"/>
      <c r="X808" s="2"/>
    </row>
    <row r="809" ht="15.75" customHeight="1">
      <c r="R809" s="2"/>
      <c r="S809" s="2"/>
      <c r="T809" s="2"/>
      <c r="U809" s="2"/>
      <c r="V809" s="2"/>
      <c r="W809" s="2"/>
      <c r="X809" s="2"/>
    </row>
    <row r="810" ht="15.75" customHeight="1">
      <c r="R810" s="2"/>
      <c r="S810" s="2"/>
      <c r="T810" s="2"/>
      <c r="U810" s="2"/>
      <c r="V810" s="2"/>
      <c r="W810" s="2"/>
      <c r="X810" s="2"/>
    </row>
    <row r="811" ht="15.75" customHeight="1">
      <c r="R811" s="2"/>
      <c r="S811" s="2"/>
      <c r="T811" s="2"/>
      <c r="U811" s="2"/>
      <c r="V811" s="2"/>
      <c r="W811" s="2"/>
      <c r="X811" s="2"/>
    </row>
    <row r="812" ht="15.75" customHeight="1">
      <c r="R812" s="2"/>
      <c r="S812" s="2"/>
      <c r="T812" s="2"/>
      <c r="U812" s="2"/>
      <c r="V812" s="2"/>
      <c r="W812" s="2"/>
      <c r="X812" s="2"/>
    </row>
    <row r="813" ht="15.75" customHeight="1">
      <c r="R813" s="2"/>
      <c r="S813" s="2"/>
      <c r="T813" s="2"/>
      <c r="U813" s="2"/>
      <c r="V813" s="2"/>
      <c r="W813" s="2"/>
      <c r="X813" s="2"/>
    </row>
    <row r="814" ht="15.75" customHeight="1">
      <c r="R814" s="2"/>
      <c r="S814" s="2"/>
      <c r="T814" s="2"/>
      <c r="U814" s="2"/>
      <c r="V814" s="2"/>
      <c r="W814" s="2"/>
      <c r="X814" s="2"/>
    </row>
    <row r="815" ht="15.75" customHeight="1">
      <c r="R815" s="2"/>
      <c r="S815" s="2"/>
      <c r="T815" s="2"/>
      <c r="U815" s="2"/>
      <c r="V815" s="2"/>
      <c r="W815" s="2"/>
      <c r="X815" s="2"/>
    </row>
    <row r="816" ht="15.75" customHeight="1">
      <c r="R816" s="2"/>
      <c r="S816" s="2"/>
      <c r="T816" s="2"/>
      <c r="U816" s="2"/>
      <c r="V816" s="2"/>
      <c r="W816" s="2"/>
      <c r="X816" s="2"/>
    </row>
    <row r="817" ht="15.75" customHeight="1">
      <c r="R817" s="2"/>
      <c r="S817" s="2"/>
      <c r="T817" s="2"/>
      <c r="U817" s="2"/>
      <c r="V817" s="2"/>
      <c r="W817" s="2"/>
      <c r="X817" s="2"/>
    </row>
    <row r="818" ht="15.75" customHeight="1">
      <c r="R818" s="2"/>
      <c r="S818" s="2"/>
      <c r="T818" s="2"/>
      <c r="U818" s="2"/>
      <c r="V818" s="2"/>
      <c r="W818" s="2"/>
      <c r="X818" s="2"/>
    </row>
    <row r="819" ht="15.75" customHeight="1">
      <c r="R819" s="2"/>
      <c r="S819" s="2"/>
      <c r="T819" s="2"/>
      <c r="U819" s="2"/>
      <c r="V819" s="2"/>
      <c r="W819" s="2"/>
      <c r="X819" s="2"/>
    </row>
    <row r="820" ht="15.75" customHeight="1">
      <c r="R820" s="2"/>
      <c r="S820" s="2"/>
      <c r="T820" s="2"/>
      <c r="U820" s="2"/>
      <c r="V820" s="2"/>
      <c r="W820" s="2"/>
      <c r="X820" s="2"/>
    </row>
    <row r="821" ht="15.75" customHeight="1">
      <c r="R821" s="2"/>
      <c r="S821" s="2"/>
      <c r="T821" s="2"/>
      <c r="U821" s="2"/>
      <c r="V821" s="2"/>
      <c r="W821" s="2"/>
      <c r="X821" s="2"/>
    </row>
    <row r="822" ht="15.75" customHeight="1">
      <c r="R822" s="2"/>
      <c r="S822" s="2"/>
      <c r="T822" s="2"/>
      <c r="U822" s="2"/>
      <c r="V822" s="2"/>
      <c r="W822" s="2"/>
      <c r="X822" s="2"/>
    </row>
    <row r="823" ht="15.75" customHeight="1">
      <c r="R823" s="2"/>
      <c r="S823" s="2"/>
      <c r="T823" s="2"/>
      <c r="U823" s="2"/>
      <c r="V823" s="2"/>
      <c r="W823" s="2"/>
      <c r="X823" s="2"/>
    </row>
    <row r="824" ht="15.75" customHeight="1">
      <c r="R824" s="2"/>
      <c r="S824" s="2"/>
      <c r="T824" s="2"/>
      <c r="U824" s="2"/>
      <c r="V824" s="2"/>
      <c r="W824" s="2"/>
      <c r="X824" s="2"/>
    </row>
    <row r="825" ht="15.75" customHeight="1">
      <c r="R825" s="2"/>
      <c r="S825" s="2"/>
      <c r="T825" s="2"/>
      <c r="U825" s="2"/>
      <c r="V825" s="2"/>
      <c r="W825" s="2"/>
      <c r="X825" s="2"/>
    </row>
    <row r="826" ht="15.75" customHeight="1">
      <c r="R826" s="2"/>
      <c r="S826" s="2"/>
      <c r="T826" s="2"/>
      <c r="U826" s="2"/>
      <c r="V826" s="2"/>
      <c r="W826" s="2"/>
      <c r="X826" s="2"/>
    </row>
    <row r="827" ht="15.75" customHeight="1">
      <c r="R827" s="2"/>
      <c r="S827" s="2"/>
      <c r="T827" s="2"/>
      <c r="U827" s="2"/>
      <c r="V827" s="2"/>
      <c r="W827" s="2"/>
      <c r="X827" s="2"/>
    </row>
    <row r="828" ht="15.75" customHeight="1">
      <c r="R828" s="2"/>
      <c r="S828" s="2"/>
      <c r="T828" s="2"/>
      <c r="U828" s="2"/>
      <c r="V828" s="2"/>
      <c r="W828" s="2"/>
      <c r="X828" s="2"/>
    </row>
    <row r="829" ht="15.75" customHeight="1">
      <c r="R829" s="2"/>
      <c r="S829" s="2"/>
      <c r="T829" s="2"/>
      <c r="U829" s="2"/>
      <c r="V829" s="2"/>
      <c r="W829" s="2"/>
      <c r="X829" s="2"/>
    </row>
    <row r="830" ht="15.75" customHeight="1">
      <c r="R830" s="2"/>
      <c r="S830" s="2"/>
      <c r="T830" s="2"/>
      <c r="U830" s="2"/>
      <c r="V830" s="2"/>
      <c r="W830" s="2"/>
      <c r="X830" s="2"/>
    </row>
    <row r="831" ht="15.75" customHeight="1">
      <c r="R831" s="2"/>
      <c r="S831" s="2"/>
      <c r="T831" s="2"/>
      <c r="U831" s="2"/>
      <c r="V831" s="2"/>
      <c r="W831" s="2"/>
      <c r="X831" s="2"/>
    </row>
    <row r="832" ht="15.75" customHeight="1">
      <c r="R832" s="2"/>
      <c r="S832" s="2"/>
      <c r="T832" s="2"/>
      <c r="U832" s="2"/>
      <c r="V832" s="2"/>
      <c r="W832" s="2"/>
      <c r="X832" s="2"/>
    </row>
    <row r="833" ht="15.75" customHeight="1">
      <c r="R833" s="2"/>
      <c r="S833" s="2"/>
      <c r="T833" s="2"/>
      <c r="U833" s="2"/>
      <c r="V833" s="2"/>
      <c r="W833" s="2"/>
      <c r="X833" s="2"/>
    </row>
    <row r="834" ht="15.75" customHeight="1">
      <c r="R834" s="2"/>
      <c r="S834" s="2"/>
      <c r="T834" s="2"/>
      <c r="U834" s="2"/>
      <c r="V834" s="2"/>
      <c r="W834" s="2"/>
      <c r="X834" s="2"/>
    </row>
    <row r="835" ht="15.75" customHeight="1">
      <c r="R835" s="2"/>
      <c r="S835" s="2"/>
      <c r="T835" s="2"/>
      <c r="U835" s="2"/>
      <c r="V835" s="2"/>
      <c r="W835" s="2"/>
      <c r="X835" s="2"/>
    </row>
    <row r="836" ht="15.75" customHeight="1">
      <c r="R836" s="2"/>
      <c r="S836" s="2"/>
      <c r="T836" s="2"/>
      <c r="U836" s="2"/>
      <c r="V836" s="2"/>
      <c r="W836" s="2"/>
      <c r="X836" s="2"/>
    </row>
    <row r="837" ht="15.75" customHeight="1">
      <c r="R837" s="2"/>
      <c r="S837" s="2"/>
      <c r="T837" s="2"/>
      <c r="U837" s="2"/>
      <c r="V837" s="2"/>
      <c r="W837" s="2"/>
      <c r="X837" s="2"/>
    </row>
    <row r="838" ht="15.75" customHeight="1">
      <c r="R838" s="2"/>
      <c r="S838" s="2"/>
      <c r="T838" s="2"/>
      <c r="U838" s="2"/>
      <c r="V838" s="2"/>
      <c r="W838" s="2"/>
      <c r="X838" s="2"/>
    </row>
    <row r="839" ht="15.75" customHeight="1">
      <c r="R839" s="2"/>
      <c r="S839" s="2"/>
      <c r="T839" s="2"/>
      <c r="U839" s="2"/>
      <c r="V839" s="2"/>
      <c r="W839" s="2"/>
      <c r="X839" s="2"/>
    </row>
    <row r="840" ht="15.75" customHeight="1">
      <c r="R840" s="2"/>
      <c r="S840" s="2"/>
      <c r="T840" s="2"/>
      <c r="U840" s="2"/>
      <c r="V840" s="2"/>
      <c r="W840" s="2"/>
      <c r="X840" s="2"/>
    </row>
    <row r="841" ht="15.75" customHeight="1">
      <c r="R841" s="2"/>
      <c r="S841" s="2"/>
      <c r="T841" s="2"/>
      <c r="U841" s="2"/>
      <c r="V841" s="2"/>
      <c r="W841" s="2"/>
      <c r="X841" s="2"/>
    </row>
    <row r="842" ht="15.75" customHeight="1">
      <c r="R842" s="2"/>
      <c r="S842" s="2"/>
      <c r="T842" s="2"/>
      <c r="U842" s="2"/>
      <c r="V842" s="2"/>
      <c r="W842" s="2"/>
      <c r="X842" s="2"/>
    </row>
    <row r="843" ht="15.75" customHeight="1">
      <c r="R843" s="2"/>
      <c r="S843" s="2"/>
      <c r="T843" s="2"/>
      <c r="U843" s="2"/>
      <c r="V843" s="2"/>
      <c r="W843" s="2"/>
      <c r="X843" s="2"/>
    </row>
    <row r="844" ht="15.75" customHeight="1">
      <c r="R844" s="2"/>
      <c r="S844" s="2"/>
      <c r="T844" s="2"/>
      <c r="U844" s="2"/>
      <c r="V844" s="2"/>
      <c r="W844" s="2"/>
      <c r="X844" s="2"/>
    </row>
    <row r="845" ht="15.75" customHeight="1">
      <c r="R845" s="2"/>
      <c r="S845" s="2"/>
      <c r="T845" s="2"/>
      <c r="U845" s="2"/>
      <c r="V845" s="2"/>
      <c r="W845" s="2"/>
      <c r="X845" s="2"/>
    </row>
    <row r="846" ht="15.75" customHeight="1">
      <c r="R846" s="2"/>
      <c r="S846" s="2"/>
      <c r="T846" s="2"/>
      <c r="U846" s="2"/>
      <c r="V846" s="2"/>
      <c r="W846" s="2"/>
      <c r="X846" s="2"/>
    </row>
    <row r="847" ht="15.75" customHeight="1">
      <c r="R847" s="2"/>
      <c r="S847" s="2"/>
      <c r="T847" s="2"/>
      <c r="U847" s="2"/>
      <c r="V847" s="2"/>
      <c r="W847" s="2"/>
      <c r="X847" s="2"/>
    </row>
    <row r="848" ht="15.75" customHeight="1">
      <c r="R848" s="2"/>
      <c r="S848" s="2"/>
      <c r="T848" s="2"/>
      <c r="U848" s="2"/>
      <c r="V848" s="2"/>
      <c r="W848" s="2"/>
      <c r="X848" s="2"/>
    </row>
    <row r="849" ht="15.75" customHeight="1">
      <c r="R849" s="2"/>
      <c r="S849" s="2"/>
      <c r="T849" s="2"/>
      <c r="U849" s="2"/>
      <c r="V849" s="2"/>
      <c r="W849" s="2"/>
      <c r="X849" s="2"/>
    </row>
    <row r="850" ht="15.75" customHeight="1">
      <c r="R850" s="2"/>
      <c r="S850" s="2"/>
      <c r="T850" s="2"/>
      <c r="U850" s="2"/>
      <c r="V850" s="2"/>
      <c r="W850" s="2"/>
      <c r="X850" s="2"/>
    </row>
    <row r="851" ht="15.75" customHeight="1">
      <c r="R851" s="2"/>
      <c r="S851" s="2"/>
      <c r="T851" s="2"/>
      <c r="U851" s="2"/>
      <c r="V851" s="2"/>
      <c r="W851" s="2"/>
      <c r="X851" s="2"/>
    </row>
    <row r="852" ht="15.75" customHeight="1">
      <c r="R852" s="2"/>
      <c r="S852" s="2"/>
      <c r="T852" s="2"/>
      <c r="U852" s="2"/>
      <c r="V852" s="2"/>
      <c r="W852" s="2"/>
      <c r="X852" s="2"/>
    </row>
    <row r="853" ht="15.75" customHeight="1">
      <c r="R853" s="2"/>
      <c r="S853" s="2"/>
      <c r="T853" s="2"/>
      <c r="U853" s="2"/>
      <c r="V853" s="2"/>
      <c r="W853" s="2"/>
      <c r="X853" s="2"/>
    </row>
    <row r="854" ht="15.75" customHeight="1">
      <c r="R854" s="2"/>
      <c r="S854" s="2"/>
      <c r="T854" s="2"/>
      <c r="U854" s="2"/>
      <c r="V854" s="2"/>
      <c r="W854" s="2"/>
      <c r="X854" s="2"/>
    </row>
    <row r="855" ht="15.75" customHeight="1">
      <c r="R855" s="2"/>
      <c r="S855" s="2"/>
      <c r="T855" s="2"/>
      <c r="U855" s="2"/>
      <c r="V855" s="2"/>
      <c r="W855" s="2"/>
      <c r="X855" s="2"/>
    </row>
    <row r="856" ht="15.75" customHeight="1">
      <c r="R856" s="2"/>
      <c r="S856" s="2"/>
      <c r="T856" s="2"/>
      <c r="U856" s="2"/>
      <c r="V856" s="2"/>
      <c r="W856" s="2"/>
      <c r="X856" s="2"/>
    </row>
    <row r="857" ht="15.75" customHeight="1">
      <c r="R857" s="2"/>
      <c r="S857" s="2"/>
      <c r="T857" s="2"/>
      <c r="U857" s="2"/>
      <c r="V857" s="2"/>
      <c r="W857" s="2"/>
      <c r="X857" s="2"/>
    </row>
    <row r="858" ht="15.75" customHeight="1">
      <c r="R858" s="2"/>
      <c r="S858" s="2"/>
      <c r="T858" s="2"/>
      <c r="U858" s="2"/>
      <c r="V858" s="2"/>
      <c r="W858" s="2"/>
      <c r="X858" s="2"/>
    </row>
    <row r="859" ht="15.75" customHeight="1">
      <c r="R859" s="2"/>
      <c r="S859" s="2"/>
      <c r="T859" s="2"/>
      <c r="U859" s="2"/>
      <c r="V859" s="2"/>
      <c r="W859" s="2"/>
      <c r="X859" s="2"/>
    </row>
    <row r="860" ht="15.75" customHeight="1">
      <c r="R860" s="2"/>
      <c r="S860" s="2"/>
      <c r="T860" s="2"/>
      <c r="U860" s="2"/>
      <c r="V860" s="2"/>
      <c r="W860" s="2"/>
      <c r="X860" s="2"/>
    </row>
    <row r="861" ht="15.75" customHeight="1">
      <c r="R861" s="2"/>
      <c r="S861" s="2"/>
      <c r="T861" s="2"/>
      <c r="U861" s="2"/>
      <c r="V861" s="2"/>
      <c r="W861" s="2"/>
      <c r="X861" s="2"/>
    </row>
    <row r="862" ht="15.75" customHeight="1">
      <c r="R862" s="2"/>
      <c r="S862" s="2"/>
      <c r="T862" s="2"/>
      <c r="U862" s="2"/>
      <c r="V862" s="2"/>
      <c r="W862" s="2"/>
      <c r="X862" s="2"/>
    </row>
    <row r="863" ht="15.75" customHeight="1">
      <c r="R863" s="2"/>
      <c r="S863" s="2"/>
      <c r="T863" s="2"/>
      <c r="U863" s="2"/>
      <c r="V863" s="2"/>
      <c r="W863" s="2"/>
      <c r="X863" s="2"/>
    </row>
    <row r="864" ht="15.75" customHeight="1">
      <c r="R864" s="2"/>
      <c r="S864" s="2"/>
      <c r="T864" s="2"/>
      <c r="U864" s="2"/>
      <c r="V864" s="2"/>
      <c r="W864" s="2"/>
      <c r="X864" s="2"/>
    </row>
    <row r="865" ht="15.75" customHeight="1">
      <c r="R865" s="2"/>
      <c r="S865" s="2"/>
      <c r="T865" s="2"/>
      <c r="U865" s="2"/>
      <c r="V865" s="2"/>
      <c r="W865" s="2"/>
      <c r="X865" s="2"/>
    </row>
    <row r="866" ht="15.75" customHeight="1">
      <c r="R866" s="2"/>
      <c r="S866" s="2"/>
      <c r="T866" s="2"/>
      <c r="U866" s="2"/>
      <c r="V866" s="2"/>
      <c r="W866" s="2"/>
      <c r="X866" s="2"/>
    </row>
    <row r="867" ht="15.75" customHeight="1">
      <c r="R867" s="2"/>
      <c r="S867" s="2"/>
      <c r="T867" s="2"/>
      <c r="U867" s="2"/>
      <c r="V867" s="2"/>
      <c r="W867" s="2"/>
      <c r="X867" s="2"/>
    </row>
    <row r="868" ht="15.75" customHeight="1">
      <c r="R868" s="2"/>
      <c r="S868" s="2"/>
      <c r="T868" s="2"/>
      <c r="U868" s="2"/>
      <c r="V868" s="2"/>
      <c r="W868" s="2"/>
      <c r="X868" s="2"/>
    </row>
    <row r="869" ht="15.75" customHeight="1">
      <c r="R869" s="2"/>
      <c r="S869" s="2"/>
      <c r="T869" s="2"/>
      <c r="U869" s="2"/>
      <c r="V869" s="2"/>
      <c r="W869" s="2"/>
      <c r="X869" s="2"/>
    </row>
    <row r="870" ht="15.75" customHeight="1">
      <c r="R870" s="2"/>
      <c r="S870" s="2"/>
      <c r="T870" s="2"/>
      <c r="U870" s="2"/>
      <c r="V870" s="2"/>
      <c r="W870" s="2"/>
      <c r="X870" s="2"/>
    </row>
    <row r="871" ht="15.75" customHeight="1">
      <c r="R871" s="2"/>
      <c r="S871" s="2"/>
      <c r="T871" s="2"/>
      <c r="U871" s="2"/>
      <c r="V871" s="2"/>
      <c r="W871" s="2"/>
      <c r="X871" s="2"/>
    </row>
    <row r="872" ht="15.75" customHeight="1">
      <c r="R872" s="2"/>
      <c r="S872" s="2"/>
      <c r="T872" s="2"/>
      <c r="U872" s="2"/>
      <c r="V872" s="2"/>
      <c r="W872" s="2"/>
      <c r="X872" s="2"/>
    </row>
    <row r="873" ht="15.75" customHeight="1">
      <c r="R873" s="2"/>
      <c r="S873" s="2"/>
      <c r="T873" s="2"/>
      <c r="U873" s="2"/>
      <c r="V873" s="2"/>
      <c r="W873" s="2"/>
      <c r="X873" s="2"/>
    </row>
    <row r="874" ht="15.75" customHeight="1">
      <c r="R874" s="2"/>
      <c r="S874" s="2"/>
      <c r="T874" s="2"/>
      <c r="U874" s="2"/>
      <c r="V874" s="2"/>
      <c r="W874" s="2"/>
      <c r="X874" s="2"/>
    </row>
    <row r="875" ht="15.75" customHeight="1">
      <c r="R875" s="2"/>
      <c r="S875" s="2"/>
      <c r="T875" s="2"/>
      <c r="U875" s="2"/>
      <c r="V875" s="2"/>
      <c r="W875" s="2"/>
      <c r="X875" s="2"/>
    </row>
    <row r="876" ht="15.75" customHeight="1">
      <c r="R876" s="2"/>
      <c r="S876" s="2"/>
      <c r="T876" s="2"/>
      <c r="U876" s="2"/>
      <c r="V876" s="2"/>
      <c r="W876" s="2"/>
      <c r="X876" s="2"/>
    </row>
    <row r="877" ht="15.75" customHeight="1">
      <c r="R877" s="2"/>
      <c r="S877" s="2"/>
      <c r="T877" s="2"/>
      <c r="U877" s="2"/>
      <c r="V877" s="2"/>
      <c r="W877" s="2"/>
      <c r="X877" s="2"/>
    </row>
    <row r="878" ht="15.75" customHeight="1">
      <c r="R878" s="2"/>
      <c r="S878" s="2"/>
      <c r="T878" s="2"/>
      <c r="U878" s="2"/>
      <c r="V878" s="2"/>
      <c r="W878" s="2"/>
      <c r="X878" s="2"/>
    </row>
    <row r="879" ht="15.75" customHeight="1">
      <c r="R879" s="2"/>
      <c r="S879" s="2"/>
      <c r="T879" s="2"/>
      <c r="U879" s="2"/>
      <c r="V879" s="2"/>
      <c r="W879" s="2"/>
      <c r="X879" s="2"/>
    </row>
    <row r="880" ht="15.75" customHeight="1">
      <c r="R880" s="2"/>
      <c r="S880" s="2"/>
      <c r="T880" s="2"/>
      <c r="U880" s="2"/>
      <c r="V880" s="2"/>
      <c r="W880" s="2"/>
      <c r="X880" s="2"/>
    </row>
    <row r="881" ht="15.75" customHeight="1">
      <c r="R881" s="2"/>
      <c r="S881" s="2"/>
      <c r="T881" s="2"/>
      <c r="U881" s="2"/>
      <c r="V881" s="2"/>
      <c r="W881" s="2"/>
      <c r="X881" s="2"/>
    </row>
    <row r="882" ht="15.75" customHeight="1">
      <c r="R882" s="2"/>
      <c r="S882" s="2"/>
      <c r="T882" s="2"/>
      <c r="U882" s="2"/>
      <c r="V882" s="2"/>
      <c r="W882" s="2"/>
      <c r="X882" s="2"/>
    </row>
    <row r="883" ht="15.75" customHeight="1">
      <c r="R883" s="2"/>
      <c r="S883" s="2"/>
      <c r="T883" s="2"/>
      <c r="U883" s="2"/>
      <c r="V883" s="2"/>
      <c r="W883" s="2"/>
      <c r="X883" s="2"/>
    </row>
    <row r="884" ht="15.75" customHeight="1">
      <c r="R884" s="2"/>
      <c r="S884" s="2"/>
      <c r="T884" s="2"/>
      <c r="U884" s="2"/>
      <c r="V884" s="2"/>
      <c r="W884" s="2"/>
      <c r="X884" s="2"/>
    </row>
    <row r="885" ht="15.75" customHeight="1">
      <c r="R885" s="2"/>
      <c r="S885" s="2"/>
      <c r="T885" s="2"/>
      <c r="U885" s="2"/>
      <c r="V885" s="2"/>
      <c r="W885" s="2"/>
      <c r="X885" s="2"/>
    </row>
    <row r="886" ht="15.75" customHeight="1">
      <c r="R886" s="2"/>
      <c r="S886" s="2"/>
      <c r="T886" s="2"/>
      <c r="U886" s="2"/>
      <c r="V886" s="2"/>
      <c r="W886" s="2"/>
      <c r="X886" s="2"/>
    </row>
    <row r="887" ht="15.75" customHeight="1">
      <c r="R887" s="2"/>
      <c r="S887" s="2"/>
      <c r="T887" s="2"/>
      <c r="U887" s="2"/>
      <c r="V887" s="2"/>
      <c r="W887" s="2"/>
      <c r="X887" s="2"/>
    </row>
    <row r="888" ht="15.75" customHeight="1">
      <c r="R888" s="2"/>
      <c r="S888" s="2"/>
      <c r="T888" s="2"/>
      <c r="U888" s="2"/>
      <c r="V888" s="2"/>
      <c r="W888" s="2"/>
      <c r="X888" s="2"/>
    </row>
    <row r="889" ht="15.75" customHeight="1">
      <c r="R889" s="2"/>
      <c r="S889" s="2"/>
      <c r="T889" s="2"/>
      <c r="U889" s="2"/>
      <c r="V889" s="2"/>
      <c r="W889" s="2"/>
      <c r="X889" s="2"/>
    </row>
    <row r="890" ht="15.75" customHeight="1">
      <c r="R890" s="2"/>
      <c r="S890" s="2"/>
      <c r="T890" s="2"/>
      <c r="U890" s="2"/>
      <c r="V890" s="2"/>
      <c r="W890" s="2"/>
      <c r="X890" s="2"/>
    </row>
    <row r="891" ht="15.75" customHeight="1">
      <c r="R891" s="2"/>
      <c r="S891" s="2"/>
      <c r="T891" s="2"/>
      <c r="U891" s="2"/>
      <c r="V891" s="2"/>
      <c r="W891" s="2"/>
      <c r="X891" s="2"/>
    </row>
    <row r="892" ht="15.75" customHeight="1">
      <c r="R892" s="2"/>
      <c r="S892" s="2"/>
      <c r="T892" s="2"/>
      <c r="U892" s="2"/>
      <c r="V892" s="2"/>
      <c r="W892" s="2"/>
      <c r="X892" s="2"/>
    </row>
    <row r="893" ht="15.75" customHeight="1">
      <c r="R893" s="2"/>
      <c r="S893" s="2"/>
      <c r="T893" s="2"/>
      <c r="U893" s="2"/>
      <c r="V893" s="2"/>
      <c r="W893" s="2"/>
      <c r="X893" s="2"/>
    </row>
    <row r="894" ht="15.75" customHeight="1">
      <c r="R894" s="2"/>
      <c r="S894" s="2"/>
      <c r="T894" s="2"/>
      <c r="U894" s="2"/>
      <c r="V894" s="2"/>
      <c r="W894" s="2"/>
      <c r="X894" s="2"/>
    </row>
    <row r="895" ht="15.75" customHeight="1">
      <c r="R895" s="2"/>
      <c r="S895" s="2"/>
      <c r="T895" s="2"/>
      <c r="U895" s="2"/>
      <c r="V895" s="2"/>
      <c r="W895" s="2"/>
      <c r="X895" s="2"/>
    </row>
    <row r="896" ht="15.75" customHeight="1">
      <c r="R896" s="2"/>
      <c r="S896" s="2"/>
      <c r="T896" s="2"/>
      <c r="U896" s="2"/>
      <c r="V896" s="2"/>
      <c r="W896" s="2"/>
      <c r="X896" s="2"/>
    </row>
    <row r="897" ht="15.75" customHeight="1">
      <c r="R897" s="2"/>
      <c r="S897" s="2"/>
      <c r="T897" s="2"/>
      <c r="U897" s="2"/>
      <c r="V897" s="2"/>
      <c r="W897" s="2"/>
      <c r="X897" s="2"/>
    </row>
    <row r="898" ht="15.75" customHeight="1">
      <c r="R898" s="2"/>
      <c r="S898" s="2"/>
      <c r="T898" s="2"/>
      <c r="U898" s="2"/>
      <c r="V898" s="2"/>
      <c r="W898" s="2"/>
      <c r="X898" s="2"/>
    </row>
    <row r="899" ht="15.75" customHeight="1">
      <c r="R899" s="2"/>
      <c r="S899" s="2"/>
      <c r="T899" s="2"/>
      <c r="U899" s="2"/>
      <c r="V899" s="2"/>
      <c r="W899" s="2"/>
      <c r="X899" s="2"/>
    </row>
    <row r="900" ht="15.75" customHeight="1">
      <c r="R900" s="2"/>
      <c r="S900" s="2"/>
      <c r="T900" s="2"/>
      <c r="U900" s="2"/>
      <c r="V900" s="2"/>
      <c r="W900" s="2"/>
      <c r="X900" s="2"/>
    </row>
    <row r="901" ht="15.75" customHeight="1">
      <c r="R901" s="2"/>
      <c r="S901" s="2"/>
      <c r="T901" s="2"/>
      <c r="U901" s="2"/>
      <c r="V901" s="2"/>
      <c r="W901" s="2"/>
      <c r="X901" s="2"/>
    </row>
    <row r="902" ht="15.75" customHeight="1">
      <c r="R902" s="2"/>
      <c r="S902" s="2"/>
      <c r="T902" s="2"/>
      <c r="U902" s="2"/>
      <c r="V902" s="2"/>
      <c r="W902" s="2"/>
      <c r="X902" s="2"/>
    </row>
    <row r="903" ht="15.75" customHeight="1">
      <c r="R903" s="2"/>
      <c r="S903" s="2"/>
      <c r="T903" s="2"/>
      <c r="U903" s="2"/>
      <c r="V903" s="2"/>
      <c r="W903" s="2"/>
      <c r="X903" s="2"/>
    </row>
    <row r="904" ht="15.75" customHeight="1">
      <c r="R904" s="2"/>
      <c r="S904" s="2"/>
      <c r="T904" s="2"/>
      <c r="U904" s="2"/>
      <c r="V904" s="2"/>
      <c r="W904" s="2"/>
      <c r="X904" s="2"/>
    </row>
    <row r="905" ht="15.75" customHeight="1">
      <c r="R905" s="2"/>
      <c r="S905" s="2"/>
      <c r="T905" s="2"/>
      <c r="U905" s="2"/>
      <c r="V905" s="2"/>
      <c r="W905" s="2"/>
      <c r="X905" s="2"/>
    </row>
    <row r="906" ht="15.75" customHeight="1">
      <c r="R906" s="2"/>
      <c r="S906" s="2"/>
      <c r="T906" s="2"/>
      <c r="U906" s="2"/>
      <c r="V906" s="2"/>
      <c r="W906" s="2"/>
      <c r="X906" s="2"/>
    </row>
    <row r="907" ht="15.75" customHeight="1">
      <c r="R907" s="2"/>
      <c r="S907" s="2"/>
      <c r="T907" s="2"/>
      <c r="U907" s="2"/>
      <c r="V907" s="2"/>
      <c r="W907" s="2"/>
      <c r="X907" s="2"/>
    </row>
    <row r="908" ht="15.75" customHeight="1">
      <c r="R908" s="2"/>
      <c r="S908" s="2"/>
      <c r="T908" s="2"/>
      <c r="U908" s="2"/>
      <c r="V908" s="2"/>
      <c r="W908" s="2"/>
      <c r="X908" s="2"/>
    </row>
    <row r="909" ht="15.75" customHeight="1">
      <c r="R909" s="2"/>
      <c r="S909" s="2"/>
      <c r="T909" s="2"/>
      <c r="U909" s="2"/>
      <c r="V909" s="2"/>
      <c r="W909" s="2"/>
      <c r="X909" s="2"/>
    </row>
    <row r="910" ht="15.75" customHeight="1">
      <c r="R910" s="2"/>
      <c r="S910" s="2"/>
      <c r="T910" s="2"/>
      <c r="U910" s="2"/>
      <c r="V910" s="2"/>
      <c r="W910" s="2"/>
      <c r="X910" s="2"/>
    </row>
    <row r="911" ht="15.75" customHeight="1">
      <c r="R911" s="2"/>
      <c r="S911" s="2"/>
      <c r="T911" s="2"/>
      <c r="U911" s="2"/>
      <c r="V911" s="2"/>
      <c r="W911" s="2"/>
      <c r="X911" s="2"/>
    </row>
    <row r="912" ht="15.75" customHeight="1">
      <c r="R912" s="2"/>
      <c r="S912" s="2"/>
      <c r="T912" s="2"/>
      <c r="U912" s="2"/>
      <c r="V912" s="2"/>
      <c r="W912" s="2"/>
      <c r="X912" s="2"/>
    </row>
    <row r="913" ht="15.75" customHeight="1">
      <c r="R913" s="2"/>
      <c r="S913" s="2"/>
      <c r="T913" s="2"/>
      <c r="U913" s="2"/>
      <c r="V913" s="2"/>
      <c r="W913" s="2"/>
      <c r="X913" s="2"/>
    </row>
    <row r="914" ht="15.75" customHeight="1">
      <c r="R914" s="2"/>
      <c r="S914" s="2"/>
      <c r="T914" s="2"/>
      <c r="U914" s="2"/>
      <c r="V914" s="2"/>
      <c r="W914" s="2"/>
      <c r="X914" s="2"/>
    </row>
    <row r="915" ht="15.75" customHeight="1">
      <c r="R915" s="2"/>
      <c r="S915" s="2"/>
      <c r="T915" s="2"/>
      <c r="U915" s="2"/>
      <c r="V915" s="2"/>
      <c r="W915" s="2"/>
      <c r="X915" s="2"/>
    </row>
    <row r="916" ht="15.75" customHeight="1">
      <c r="R916" s="2"/>
      <c r="S916" s="2"/>
      <c r="T916" s="2"/>
      <c r="U916" s="2"/>
      <c r="V916" s="2"/>
      <c r="W916" s="2"/>
      <c r="X916" s="2"/>
    </row>
    <row r="917" ht="15.75" customHeight="1">
      <c r="R917" s="2"/>
      <c r="S917" s="2"/>
      <c r="T917" s="2"/>
      <c r="U917" s="2"/>
      <c r="V917" s="2"/>
      <c r="W917" s="2"/>
      <c r="X917" s="2"/>
    </row>
    <row r="918" ht="15.75" customHeight="1">
      <c r="R918" s="2"/>
      <c r="S918" s="2"/>
      <c r="T918" s="2"/>
      <c r="U918" s="2"/>
      <c r="V918" s="2"/>
      <c r="W918" s="2"/>
      <c r="X918" s="2"/>
    </row>
    <row r="919" ht="15.75" customHeight="1">
      <c r="R919" s="2"/>
      <c r="S919" s="2"/>
      <c r="T919" s="2"/>
      <c r="U919" s="2"/>
      <c r="V919" s="2"/>
      <c r="W919" s="2"/>
      <c r="X919" s="2"/>
    </row>
    <row r="920" ht="15.75" customHeight="1">
      <c r="R920" s="2"/>
      <c r="S920" s="2"/>
      <c r="T920" s="2"/>
      <c r="U920" s="2"/>
      <c r="V920" s="2"/>
      <c r="W920" s="2"/>
      <c r="X920" s="2"/>
    </row>
    <row r="921" ht="15.75" customHeight="1">
      <c r="R921" s="2"/>
      <c r="S921" s="2"/>
      <c r="T921" s="2"/>
      <c r="U921" s="2"/>
      <c r="V921" s="2"/>
      <c r="W921" s="2"/>
      <c r="X921" s="2"/>
    </row>
    <row r="922" ht="15.75" customHeight="1">
      <c r="R922" s="2"/>
      <c r="S922" s="2"/>
      <c r="T922" s="2"/>
      <c r="U922" s="2"/>
      <c r="V922" s="2"/>
      <c r="W922" s="2"/>
      <c r="X922" s="2"/>
    </row>
    <row r="923" ht="15.75" customHeight="1">
      <c r="R923" s="2"/>
      <c r="S923" s="2"/>
      <c r="T923" s="2"/>
      <c r="U923" s="2"/>
      <c r="V923" s="2"/>
      <c r="W923" s="2"/>
      <c r="X923" s="2"/>
    </row>
    <row r="924" ht="15.75" customHeight="1">
      <c r="R924" s="2"/>
      <c r="S924" s="2"/>
      <c r="T924" s="2"/>
      <c r="U924" s="2"/>
      <c r="V924" s="2"/>
      <c r="W924" s="2"/>
      <c r="X924" s="2"/>
    </row>
    <row r="925" ht="15.75" customHeight="1">
      <c r="R925" s="2"/>
      <c r="S925" s="2"/>
      <c r="T925" s="2"/>
      <c r="U925" s="2"/>
      <c r="V925" s="2"/>
      <c r="W925" s="2"/>
      <c r="X925" s="2"/>
    </row>
    <row r="926" ht="15.75" customHeight="1">
      <c r="R926" s="2"/>
      <c r="S926" s="2"/>
      <c r="T926" s="2"/>
      <c r="U926" s="2"/>
      <c r="V926" s="2"/>
      <c r="W926" s="2"/>
      <c r="X926" s="2"/>
    </row>
    <row r="927" ht="15.75" customHeight="1">
      <c r="R927" s="2"/>
      <c r="S927" s="2"/>
      <c r="T927" s="2"/>
      <c r="U927" s="2"/>
      <c r="V927" s="2"/>
      <c r="W927" s="2"/>
      <c r="X927" s="2"/>
    </row>
    <row r="928" ht="15.75" customHeight="1">
      <c r="R928" s="2"/>
      <c r="S928" s="2"/>
      <c r="T928" s="2"/>
      <c r="U928" s="2"/>
      <c r="V928" s="2"/>
      <c r="W928" s="2"/>
      <c r="X928" s="2"/>
    </row>
    <row r="929" ht="15.75" customHeight="1">
      <c r="R929" s="2"/>
      <c r="S929" s="2"/>
      <c r="T929" s="2"/>
      <c r="U929" s="2"/>
      <c r="V929" s="2"/>
      <c r="W929" s="2"/>
      <c r="X929" s="2"/>
    </row>
    <row r="930" ht="15.75" customHeight="1">
      <c r="R930" s="2"/>
      <c r="S930" s="2"/>
      <c r="T930" s="2"/>
      <c r="U930" s="2"/>
      <c r="V930" s="2"/>
      <c r="W930" s="2"/>
      <c r="X930" s="2"/>
    </row>
    <row r="931" ht="15.75" customHeight="1">
      <c r="R931" s="2"/>
      <c r="S931" s="2"/>
      <c r="T931" s="2"/>
      <c r="U931" s="2"/>
      <c r="V931" s="2"/>
      <c r="W931" s="2"/>
      <c r="X931" s="2"/>
    </row>
    <row r="932" ht="15.75" customHeight="1">
      <c r="R932" s="2"/>
      <c r="S932" s="2"/>
      <c r="T932" s="2"/>
      <c r="U932" s="2"/>
      <c r="V932" s="2"/>
      <c r="W932" s="2"/>
      <c r="X932" s="2"/>
    </row>
    <row r="933" ht="15.75" customHeight="1">
      <c r="R933" s="2"/>
      <c r="S933" s="2"/>
      <c r="T933" s="2"/>
      <c r="U933" s="2"/>
      <c r="V933" s="2"/>
      <c r="W933" s="2"/>
      <c r="X933" s="2"/>
    </row>
    <row r="934" ht="15.75" customHeight="1">
      <c r="R934" s="2"/>
      <c r="S934" s="2"/>
      <c r="T934" s="2"/>
      <c r="U934" s="2"/>
      <c r="V934" s="2"/>
      <c r="W934" s="2"/>
      <c r="X934" s="2"/>
    </row>
    <row r="935" ht="15.75" customHeight="1">
      <c r="R935" s="2"/>
      <c r="S935" s="2"/>
      <c r="T935" s="2"/>
      <c r="U935" s="2"/>
      <c r="V935" s="2"/>
      <c r="W935" s="2"/>
      <c r="X935" s="2"/>
    </row>
    <row r="936" ht="15.75" customHeight="1">
      <c r="R936" s="2"/>
      <c r="S936" s="2"/>
      <c r="T936" s="2"/>
      <c r="U936" s="2"/>
      <c r="V936" s="2"/>
      <c r="W936" s="2"/>
      <c r="X936" s="2"/>
    </row>
    <row r="937" ht="15.75" customHeight="1">
      <c r="R937" s="2"/>
      <c r="S937" s="2"/>
      <c r="T937" s="2"/>
      <c r="U937" s="2"/>
      <c r="V937" s="2"/>
      <c r="W937" s="2"/>
      <c r="X937" s="2"/>
    </row>
    <row r="938" ht="15.75" customHeight="1">
      <c r="R938" s="2"/>
      <c r="S938" s="2"/>
      <c r="T938" s="2"/>
      <c r="U938" s="2"/>
      <c r="V938" s="2"/>
      <c r="W938" s="2"/>
      <c r="X938" s="2"/>
    </row>
    <row r="939" ht="15.75" customHeight="1">
      <c r="R939" s="2"/>
      <c r="S939" s="2"/>
      <c r="T939" s="2"/>
      <c r="U939" s="2"/>
      <c r="V939" s="2"/>
      <c r="W939" s="2"/>
      <c r="X939" s="2"/>
    </row>
    <row r="940" ht="15.75" customHeight="1">
      <c r="R940" s="2"/>
      <c r="S940" s="2"/>
      <c r="T940" s="2"/>
      <c r="U940" s="2"/>
      <c r="V940" s="2"/>
      <c r="W940" s="2"/>
      <c r="X940" s="2"/>
    </row>
    <row r="941" ht="15.75" customHeight="1">
      <c r="R941" s="2"/>
      <c r="S941" s="2"/>
      <c r="T941" s="2"/>
      <c r="U941" s="2"/>
      <c r="V941" s="2"/>
      <c r="W941" s="2"/>
      <c r="X941" s="2"/>
    </row>
    <row r="942" ht="15.75" customHeight="1">
      <c r="R942" s="2"/>
      <c r="S942" s="2"/>
      <c r="T942" s="2"/>
      <c r="U942" s="2"/>
      <c r="V942" s="2"/>
      <c r="W942" s="2"/>
      <c r="X942" s="2"/>
    </row>
    <row r="943" ht="15.75" customHeight="1">
      <c r="R943" s="2"/>
      <c r="S943" s="2"/>
      <c r="T943" s="2"/>
      <c r="U943" s="2"/>
      <c r="V943" s="2"/>
      <c r="W943" s="2"/>
      <c r="X943" s="2"/>
    </row>
    <row r="944" ht="15.75" customHeight="1">
      <c r="R944" s="2"/>
      <c r="S944" s="2"/>
      <c r="T944" s="2"/>
      <c r="U944" s="2"/>
      <c r="V944" s="2"/>
      <c r="W944" s="2"/>
      <c r="X944" s="2"/>
    </row>
    <row r="945" ht="15.75" customHeight="1">
      <c r="R945" s="2"/>
      <c r="S945" s="2"/>
      <c r="T945" s="2"/>
      <c r="U945" s="2"/>
      <c r="V945" s="2"/>
      <c r="W945" s="2"/>
      <c r="X945" s="2"/>
    </row>
    <row r="946" ht="15.75" customHeight="1">
      <c r="R946" s="2"/>
      <c r="S946" s="2"/>
      <c r="T946" s="2"/>
      <c r="U946" s="2"/>
      <c r="V946" s="2"/>
      <c r="W946" s="2"/>
      <c r="X946" s="2"/>
    </row>
    <row r="947" ht="15.75" customHeight="1">
      <c r="R947" s="2"/>
      <c r="S947" s="2"/>
      <c r="T947" s="2"/>
      <c r="U947" s="2"/>
      <c r="V947" s="2"/>
      <c r="W947" s="2"/>
      <c r="X947" s="2"/>
    </row>
    <row r="948" ht="15.75" customHeight="1">
      <c r="R948" s="2"/>
      <c r="S948" s="2"/>
      <c r="T948" s="2"/>
      <c r="U948" s="2"/>
      <c r="V948" s="2"/>
      <c r="W948" s="2"/>
      <c r="X948" s="2"/>
    </row>
    <row r="949" ht="15.75" customHeight="1">
      <c r="R949" s="2"/>
      <c r="S949" s="2"/>
      <c r="T949" s="2"/>
      <c r="U949" s="2"/>
      <c r="V949" s="2"/>
      <c r="W949" s="2"/>
      <c r="X949" s="2"/>
    </row>
    <row r="950" ht="15.75" customHeight="1">
      <c r="R950" s="2"/>
      <c r="S950" s="2"/>
      <c r="T950" s="2"/>
      <c r="U950" s="2"/>
      <c r="V950" s="2"/>
      <c r="W950" s="2"/>
      <c r="X950" s="2"/>
    </row>
    <row r="951" ht="15.75" customHeight="1">
      <c r="R951" s="2"/>
      <c r="S951" s="2"/>
      <c r="T951" s="2"/>
      <c r="U951" s="2"/>
      <c r="V951" s="2"/>
      <c r="W951" s="2"/>
      <c r="X951" s="2"/>
    </row>
    <row r="952" ht="15.75" customHeight="1">
      <c r="R952" s="2"/>
      <c r="S952" s="2"/>
      <c r="T952" s="2"/>
      <c r="U952" s="2"/>
      <c r="V952" s="2"/>
      <c r="W952" s="2"/>
      <c r="X952" s="2"/>
    </row>
    <row r="953" ht="15.75" customHeight="1">
      <c r="R953" s="2"/>
      <c r="S953" s="2"/>
      <c r="T953" s="2"/>
      <c r="U953" s="2"/>
      <c r="V953" s="2"/>
      <c r="W953" s="2"/>
      <c r="X953" s="2"/>
    </row>
    <row r="954" ht="15.75" customHeight="1">
      <c r="R954" s="2"/>
      <c r="S954" s="2"/>
      <c r="T954" s="2"/>
      <c r="U954" s="2"/>
      <c r="V954" s="2"/>
      <c r="W954" s="2"/>
      <c r="X954" s="2"/>
    </row>
    <row r="955" ht="15.75" customHeight="1">
      <c r="R955" s="2"/>
      <c r="S955" s="2"/>
      <c r="T955" s="2"/>
      <c r="U955" s="2"/>
      <c r="V955" s="2"/>
      <c r="W955" s="2"/>
      <c r="X955" s="2"/>
    </row>
    <row r="956" ht="15.75" customHeight="1">
      <c r="R956" s="2"/>
      <c r="S956" s="2"/>
      <c r="T956" s="2"/>
      <c r="U956" s="2"/>
      <c r="V956" s="2"/>
      <c r="W956" s="2"/>
      <c r="X956" s="2"/>
    </row>
    <row r="957" ht="15.75" customHeight="1">
      <c r="R957" s="2"/>
      <c r="S957" s="2"/>
      <c r="T957" s="2"/>
      <c r="U957" s="2"/>
      <c r="V957" s="2"/>
      <c r="W957" s="2"/>
      <c r="X957" s="2"/>
    </row>
    <row r="958" ht="15.75" customHeight="1">
      <c r="R958" s="2"/>
      <c r="S958" s="2"/>
      <c r="T958" s="2"/>
      <c r="U958" s="2"/>
      <c r="V958" s="2"/>
      <c r="W958" s="2"/>
      <c r="X958" s="2"/>
    </row>
    <row r="959" ht="15.75" customHeight="1">
      <c r="R959" s="2"/>
      <c r="S959" s="2"/>
      <c r="T959" s="2"/>
      <c r="U959" s="2"/>
      <c r="V959" s="2"/>
      <c r="W959" s="2"/>
      <c r="X959" s="2"/>
    </row>
    <row r="960" ht="15.75" customHeight="1">
      <c r="R960" s="2"/>
      <c r="S960" s="2"/>
      <c r="T960" s="2"/>
      <c r="U960" s="2"/>
      <c r="V960" s="2"/>
      <c r="W960" s="2"/>
      <c r="X960" s="2"/>
    </row>
    <row r="961" ht="15.75" customHeight="1">
      <c r="R961" s="2"/>
      <c r="S961" s="2"/>
      <c r="T961" s="2"/>
      <c r="U961" s="2"/>
      <c r="V961" s="2"/>
      <c r="W961" s="2"/>
      <c r="X961" s="2"/>
    </row>
    <row r="962" ht="15.75" customHeight="1">
      <c r="R962" s="2"/>
      <c r="S962" s="2"/>
      <c r="T962" s="2"/>
      <c r="U962" s="2"/>
      <c r="V962" s="2"/>
      <c r="W962" s="2"/>
      <c r="X962" s="2"/>
    </row>
    <row r="963" ht="15.75" customHeight="1">
      <c r="R963" s="2"/>
      <c r="S963" s="2"/>
      <c r="T963" s="2"/>
      <c r="U963" s="2"/>
      <c r="V963" s="2"/>
      <c r="W963" s="2"/>
      <c r="X963" s="2"/>
    </row>
    <row r="964" ht="15.75" customHeight="1">
      <c r="R964" s="2"/>
      <c r="S964" s="2"/>
      <c r="T964" s="2"/>
      <c r="U964" s="2"/>
      <c r="V964" s="2"/>
      <c r="W964" s="2"/>
      <c r="X964" s="2"/>
    </row>
    <row r="965" ht="15.75" customHeight="1">
      <c r="R965" s="2"/>
      <c r="S965" s="2"/>
      <c r="T965" s="2"/>
      <c r="U965" s="2"/>
      <c r="V965" s="2"/>
      <c r="W965" s="2"/>
      <c r="X965" s="2"/>
    </row>
    <row r="966" ht="15.75" customHeight="1">
      <c r="R966" s="2"/>
      <c r="S966" s="2"/>
      <c r="T966" s="2"/>
      <c r="U966" s="2"/>
      <c r="V966" s="2"/>
      <c r="W966" s="2"/>
      <c r="X966" s="2"/>
    </row>
    <row r="967" ht="15.75" customHeight="1">
      <c r="R967" s="2"/>
      <c r="S967" s="2"/>
      <c r="T967" s="2"/>
      <c r="U967" s="2"/>
      <c r="V967" s="2"/>
      <c r="W967" s="2"/>
      <c r="X967" s="2"/>
    </row>
    <row r="968" ht="15.75" customHeight="1">
      <c r="R968" s="2"/>
      <c r="S968" s="2"/>
      <c r="T968" s="2"/>
      <c r="U968" s="2"/>
      <c r="V968" s="2"/>
      <c r="W968" s="2"/>
      <c r="X968" s="2"/>
    </row>
    <row r="969" ht="15.75" customHeight="1">
      <c r="R969" s="2"/>
      <c r="S969" s="2"/>
      <c r="T969" s="2"/>
      <c r="U969" s="2"/>
      <c r="V969" s="2"/>
      <c r="W969" s="2"/>
      <c r="X969" s="2"/>
    </row>
    <row r="970" ht="15.75" customHeight="1">
      <c r="R970" s="2"/>
      <c r="S970" s="2"/>
      <c r="T970" s="2"/>
      <c r="U970" s="2"/>
      <c r="V970" s="2"/>
      <c r="W970" s="2"/>
      <c r="X970" s="2"/>
    </row>
    <row r="971" ht="15.75" customHeight="1">
      <c r="R971" s="2"/>
      <c r="S971" s="2"/>
      <c r="T971" s="2"/>
      <c r="U971" s="2"/>
      <c r="V971" s="2"/>
      <c r="W971" s="2"/>
      <c r="X971" s="2"/>
    </row>
    <row r="972" ht="15.75" customHeight="1">
      <c r="R972" s="2"/>
      <c r="S972" s="2"/>
      <c r="T972" s="2"/>
      <c r="U972" s="2"/>
      <c r="V972" s="2"/>
      <c r="W972" s="2"/>
      <c r="X972" s="2"/>
    </row>
    <row r="973" ht="15.75" customHeight="1">
      <c r="R973" s="2"/>
      <c r="S973" s="2"/>
      <c r="T973" s="2"/>
      <c r="U973" s="2"/>
      <c r="V973" s="2"/>
      <c r="W973" s="2"/>
      <c r="X973" s="2"/>
    </row>
    <row r="974" ht="15.75" customHeight="1">
      <c r="R974" s="2"/>
      <c r="S974" s="2"/>
      <c r="T974" s="2"/>
      <c r="U974" s="2"/>
      <c r="V974" s="2"/>
      <c r="W974" s="2"/>
      <c r="X974" s="2"/>
    </row>
    <row r="975" ht="15.75" customHeight="1">
      <c r="R975" s="2"/>
      <c r="S975" s="2"/>
      <c r="T975" s="2"/>
      <c r="U975" s="2"/>
      <c r="V975" s="2"/>
      <c r="W975" s="2"/>
      <c r="X975" s="2"/>
    </row>
    <row r="976" ht="15.75" customHeight="1">
      <c r="R976" s="2"/>
      <c r="S976" s="2"/>
      <c r="T976" s="2"/>
      <c r="U976" s="2"/>
      <c r="V976" s="2"/>
      <c r="W976" s="2"/>
      <c r="X976" s="2"/>
    </row>
    <row r="977" ht="15.75" customHeight="1">
      <c r="R977" s="2"/>
      <c r="S977" s="2"/>
      <c r="T977" s="2"/>
      <c r="U977" s="2"/>
      <c r="V977" s="2"/>
      <c r="W977" s="2"/>
      <c r="X977" s="2"/>
    </row>
    <row r="978" ht="15.75" customHeight="1">
      <c r="R978" s="2"/>
      <c r="S978" s="2"/>
      <c r="T978" s="2"/>
      <c r="U978" s="2"/>
      <c r="V978" s="2"/>
      <c r="W978" s="2"/>
      <c r="X978" s="2"/>
    </row>
    <row r="979" ht="15.75" customHeight="1">
      <c r="R979" s="2"/>
      <c r="S979" s="2"/>
      <c r="T979" s="2"/>
      <c r="U979" s="2"/>
      <c r="V979" s="2"/>
      <c r="W979" s="2"/>
      <c r="X979" s="2"/>
    </row>
    <row r="980" ht="15.75" customHeight="1">
      <c r="R980" s="2"/>
      <c r="S980" s="2"/>
      <c r="T980" s="2"/>
      <c r="U980" s="2"/>
      <c r="V980" s="2"/>
      <c r="W980" s="2"/>
      <c r="X980" s="2"/>
    </row>
    <row r="981" ht="15.75" customHeight="1">
      <c r="R981" s="2"/>
      <c r="S981" s="2"/>
      <c r="T981" s="2"/>
      <c r="U981" s="2"/>
      <c r="V981" s="2"/>
      <c r="W981" s="2"/>
      <c r="X981" s="2"/>
    </row>
    <row r="982" ht="15.75" customHeight="1">
      <c r="R982" s="2"/>
      <c r="S982" s="2"/>
      <c r="T982" s="2"/>
      <c r="U982" s="2"/>
      <c r="V982" s="2"/>
      <c r="W982" s="2"/>
      <c r="X982" s="2"/>
    </row>
    <row r="983" ht="15.75" customHeight="1">
      <c r="R983" s="2"/>
      <c r="S983" s="2"/>
      <c r="T983" s="2"/>
      <c r="U983" s="2"/>
      <c r="V983" s="2"/>
      <c r="W983" s="2"/>
      <c r="X983" s="2"/>
    </row>
    <row r="984" ht="15.75" customHeight="1">
      <c r="R984" s="2"/>
      <c r="S984" s="2"/>
      <c r="T984" s="2"/>
      <c r="U984" s="2"/>
      <c r="V984" s="2"/>
      <c r="W984" s="2"/>
      <c r="X984" s="2"/>
    </row>
    <row r="985" ht="15.75" customHeight="1">
      <c r="R985" s="2"/>
      <c r="S985" s="2"/>
      <c r="T985" s="2"/>
      <c r="U985" s="2"/>
      <c r="V985" s="2"/>
      <c r="W985" s="2"/>
      <c r="X985" s="2"/>
    </row>
    <row r="986" ht="15.75" customHeight="1">
      <c r="R986" s="2"/>
      <c r="S986" s="2"/>
      <c r="T986" s="2"/>
      <c r="U986" s="2"/>
      <c r="V986" s="2"/>
      <c r="W986" s="2"/>
      <c r="X986" s="2"/>
    </row>
    <row r="987" ht="15.75" customHeight="1">
      <c r="R987" s="2"/>
      <c r="S987" s="2"/>
      <c r="T987" s="2"/>
      <c r="U987" s="2"/>
      <c r="V987" s="2"/>
      <c r="W987" s="2"/>
      <c r="X987" s="2"/>
    </row>
    <row r="988" ht="15.75" customHeight="1">
      <c r="R988" s="2"/>
      <c r="S988" s="2"/>
      <c r="T988" s="2"/>
      <c r="U988" s="2"/>
      <c r="V988" s="2"/>
      <c r="W988" s="2"/>
      <c r="X988" s="2"/>
    </row>
    <row r="989" ht="15.75" customHeight="1">
      <c r="R989" s="2"/>
      <c r="S989" s="2"/>
      <c r="T989" s="2"/>
      <c r="U989" s="2"/>
      <c r="V989" s="2"/>
      <c r="W989" s="2"/>
      <c r="X989" s="2"/>
    </row>
    <row r="990" ht="15.75" customHeight="1">
      <c r="R990" s="2"/>
      <c r="S990" s="2"/>
      <c r="T990" s="2"/>
      <c r="U990" s="2"/>
      <c r="V990" s="2"/>
      <c r="W990" s="2"/>
      <c r="X990" s="2"/>
    </row>
    <row r="991" ht="15.75" customHeight="1">
      <c r="R991" s="2"/>
      <c r="S991" s="2"/>
      <c r="T991" s="2"/>
      <c r="U991" s="2"/>
      <c r="V991" s="2"/>
      <c r="W991" s="2"/>
      <c r="X991" s="2"/>
    </row>
    <row r="992" ht="15.75" customHeight="1">
      <c r="R992" s="2"/>
      <c r="S992" s="2"/>
      <c r="T992" s="2"/>
      <c r="U992" s="2"/>
      <c r="V992" s="2"/>
      <c r="W992" s="2"/>
      <c r="X992" s="2"/>
    </row>
    <row r="993" ht="15.75" customHeight="1">
      <c r="R993" s="2"/>
      <c r="S993" s="2"/>
      <c r="T993" s="2"/>
      <c r="U993" s="2"/>
      <c r="V993" s="2"/>
      <c r="W993" s="2"/>
      <c r="X993" s="2"/>
    </row>
    <row r="994" ht="15.75" customHeight="1">
      <c r="R994" s="2"/>
      <c r="S994" s="2"/>
      <c r="T994" s="2"/>
      <c r="U994" s="2"/>
      <c r="V994" s="2"/>
      <c r="W994" s="2"/>
      <c r="X994" s="2"/>
    </row>
    <row r="995" ht="15.75" customHeight="1">
      <c r="R995" s="2"/>
      <c r="S995" s="2"/>
      <c r="T995" s="2"/>
      <c r="U995" s="2"/>
      <c r="V995" s="2"/>
      <c r="W995" s="2"/>
      <c r="X995" s="2"/>
    </row>
    <row r="996" ht="15.75" customHeight="1">
      <c r="R996" s="2"/>
      <c r="S996" s="2"/>
      <c r="T996" s="2"/>
      <c r="U996" s="2"/>
      <c r="V996" s="2"/>
      <c r="W996" s="2"/>
      <c r="X996" s="2"/>
    </row>
    <row r="997" ht="15.75" customHeight="1">
      <c r="R997" s="2"/>
      <c r="S997" s="2"/>
      <c r="T997" s="2"/>
      <c r="U997" s="2"/>
      <c r="V997" s="2"/>
      <c r="W997" s="2"/>
      <c r="X997" s="2"/>
    </row>
    <row r="998" ht="15.75" customHeight="1">
      <c r="R998" s="2"/>
      <c r="S998" s="2"/>
      <c r="T998" s="2"/>
      <c r="U998" s="2"/>
      <c r="V998" s="2"/>
      <c r="W998" s="2"/>
      <c r="X998" s="2"/>
    </row>
    <row r="999" ht="15.75" customHeight="1">
      <c r="R999" s="2"/>
      <c r="S999" s="2"/>
      <c r="T999" s="2"/>
      <c r="U999" s="2"/>
      <c r="V999" s="2"/>
      <c r="W999" s="2"/>
      <c r="X999" s="2"/>
    </row>
    <row r="1000" ht="15.75" customHeight="1">
      <c r="R1000" s="2"/>
      <c r="S1000" s="2"/>
      <c r="T1000" s="2"/>
      <c r="U1000" s="2"/>
      <c r="V1000" s="2"/>
      <c r="W1000" s="2"/>
      <c r="X1000" s="2"/>
    </row>
    <row r="1001" ht="15.75" customHeight="1">
      <c r="R1001" s="2"/>
      <c r="S1001" s="2"/>
      <c r="T1001" s="2"/>
      <c r="U1001" s="2"/>
      <c r="V1001" s="2"/>
      <c r="W1001" s="2"/>
      <c r="X1001" s="2"/>
    </row>
    <row r="1002" ht="15.75" customHeight="1">
      <c r="R1002" s="2"/>
      <c r="S1002" s="2"/>
      <c r="T1002" s="2"/>
      <c r="U1002" s="2"/>
      <c r="V1002" s="2"/>
      <c r="W1002" s="2"/>
      <c r="X1002" s="2"/>
    </row>
    <row r="1003" ht="15.75" customHeight="1">
      <c r="R1003" s="2"/>
      <c r="S1003" s="2"/>
      <c r="T1003" s="2"/>
      <c r="U1003" s="2"/>
      <c r="V1003" s="2"/>
      <c r="W1003" s="2"/>
      <c r="X1003" s="2"/>
    </row>
    <row r="1004" ht="15.75" customHeight="1">
      <c r="R1004" s="2"/>
      <c r="S1004" s="2"/>
      <c r="T1004" s="2"/>
      <c r="U1004" s="2"/>
      <c r="V1004" s="2"/>
      <c r="W1004" s="2"/>
      <c r="X1004" s="2"/>
    </row>
    <row r="1005" ht="15.75" customHeight="1">
      <c r="R1005" s="2"/>
      <c r="S1005" s="2"/>
      <c r="T1005" s="2"/>
      <c r="U1005" s="2"/>
      <c r="V1005" s="2"/>
      <c r="W1005" s="2"/>
      <c r="X1005" s="2"/>
    </row>
    <row r="1006" ht="15.75" customHeight="1">
      <c r="R1006" s="2"/>
      <c r="S1006" s="2"/>
      <c r="T1006" s="2"/>
      <c r="U1006" s="2"/>
      <c r="V1006" s="2"/>
      <c r="W1006" s="2"/>
      <c r="X1006" s="2"/>
    </row>
    <row r="1007" ht="15.75" customHeight="1">
      <c r="R1007" s="2"/>
      <c r="S1007" s="2"/>
      <c r="T1007" s="2"/>
      <c r="U1007" s="2"/>
      <c r="V1007" s="2"/>
      <c r="W1007" s="2"/>
      <c r="X1007" s="2"/>
    </row>
    <row r="1008" ht="15.75" customHeight="1">
      <c r="R1008" s="2"/>
      <c r="S1008" s="2"/>
      <c r="T1008" s="2"/>
      <c r="U1008" s="2"/>
      <c r="V1008" s="2"/>
      <c r="W1008" s="2"/>
      <c r="X1008" s="2"/>
    </row>
    <row r="1009" ht="15.75" customHeight="1">
      <c r="R1009" s="2"/>
      <c r="S1009" s="2"/>
      <c r="T1009" s="2"/>
      <c r="U1009" s="2"/>
      <c r="V1009" s="2"/>
      <c r="W1009" s="2"/>
      <c r="X1009" s="2"/>
    </row>
    <row r="1010" ht="15.75" customHeight="1">
      <c r="R1010" s="2"/>
      <c r="S1010" s="2"/>
      <c r="T1010" s="2"/>
      <c r="U1010" s="2"/>
      <c r="V1010" s="2"/>
      <c r="W1010" s="2"/>
      <c r="X1010" s="2"/>
    </row>
  </sheetData>
  <mergeCells count="48">
    <mergeCell ref="N60:O60"/>
    <mergeCell ref="N70:O70"/>
    <mergeCell ref="D75:F75"/>
    <mergeCell ref="F82:G82"/>
    <mergeCell ref="F83:G83"/>
    <mergeCell ref="M51:N51"/>
    <mergeCell ref="L52:N52"/>
    <mergeCell ref="F59:G59"/>
    <mergeCell ref="N59:O59"/>
    <mergeCell ref="F60:G60"/>
    <mergeCell ref="D63:F63"/>
    <mergeCell ref="L63:N63"/>
    <mergeCell ref="B10:C10"/>
    <mergeCell ref="D10:P10"/>
    <mergeCell ref="D12:F12"/>
    <mergeCell ref="L12:N12"/>
    <mergeCell ref="M19:N19"/>
    <mergeCell ref="D21:F21"/>
    <mergeCell ref="L21:N21"/>
    <mergeCell ref="W34:W36"/>
    <mergeCell ref="X34:X36"/>
    <mergeCell ref="M20:N20"/>
    <mergeCell ref="N28:O28"/>
    <mergeCell ref="E29:F29"/>
    <mergeCell ref="N29:O29"/>
    <mergeCell ref="E30:F30"/>
    <mergeCell ref="D32:F32"/>
    <mergeCell ref="L32:N32"/>
    <mergeCell ref="F39:G39"/>
    <mergeCell ref="N39:O39"/>
    <mergeCell ref="F40:G40"/>
    <mergeCell ref="N40:O40"/>
    <mergeCell ref="D42:F42"/>
    <mergeCell ref="L42:N42"/>
    <mergeCell ref="S42:X42"/>
    <mergeCell ref="S48:X50"/>
    <mergeCell ref="S51:X57"/>
    <mergeCell ref="S58:X62"/>
    <mergeCell ref="S43:X43"/>
    <mergeCell ref="S44:X45"/>
    <mergeCell ref="S46:X47"/>
    <mergeCell ref="F49:G49"/>
    <mergeCell ref="F50:G50"/>
    <mergeCell ref="M50:N50"/>
    <mergeCell ref="D52:F52"/>
    <mergeCell ref="F71:G71"/>
    <mergeCell ref="N71:O71"/>
    <mergeCell ref="F72:G72"/>
  </mergeCells>
  <conditionalFormatting sqref="U32">
    <cfRule type="cellIs" dxfId="0" priority="1" operator="equal">
      <formula>"400:00:00"</formula>
    </cfRule>
  </conditionalFormatting>
  <conditionalFormatting sqref="U36">
    <cfRule type="cellIs" dxfId="1" priority="2" operator="equal">
      <formula>"1200:00:00.000"</formula>
    </cfRule>
  </conditionalFormatting>
  <conditionalFormatting sqref="U36">
    <cfRule type="cellIs" dxfId="2" priority="3" operator="notEqual">
      <formula>"1200:00:00.000"</formula>
    </cfRule>
  </conditionalFormatting>
  <conditionalFormatting sqref="U34">
    <cfRule type="cellIs" dxfId="1" priority="4" operator="equal">
      <formula>"800:00:00.000"</formula>
    </cfRule>
  </conditionalFormatting>
  <conditionalFormatting sqref="U34">
    <cfRule type="cellIs" dxfId="3" priority="5" operator="notEqual">
      <formula>"800:00:00"</formula>
    </cfRule>
  </conditionalFormatting>
  <printOptions horizontalCentered="1"/>
  <pageMargins bottom="0.5" footer="0.0" header="0.0" left="0.5" right="0.5" top="0.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2021-11-06T19:11:04Z</dcterms:created>
  <dc:creator>WinCalendar</dc:creator>
</cp:coreProperties>
</file>